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de Melhorias" sheetId="1" state="visible" r:id="rId3"/>
    <sheet name="Cronogram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<sst xmlns="http://schemas.openxmlformats.org/spreadsheetml/2006/main" count="304" uniqueCount="157">
  <si>
    <t xml:space="preserve">CHECKLIST DE MELHORIAS – TV CORPORATIVA | GRUPO FLEXÍVEL</t>
  </si>
  <si>
    <t xml:space="preserve">Atualizado em 22/06/2026  •  Andamento das entregas do sistema</t>
  </si>
  <si>
    <t xml:space="preserve">Nº</t>
  </si>
  <si>
    <t xml:space="preserve">Categoria</t>
  </si>
  <si>
    <t xml:space="preserve">Melhoria / Entregável</t>
  </si>
  <si>
    <t xml:space="preserve">Status</t>
  </si>
  <si>
    <t xml:space="preserve">Data</t>
  </si>
  <si>
    <t xml:space="preserve">Observações</t>
  </si>
  <si>
    <t xml:space="preserve">CORREÇÕES CRÍTICAS (BACKEND)</t>
  </si>
  <si>
    <t xml:space="preserve">Backend</t>
  </si>
  <si>
    <t xml:space="preserve">Servidor central reescrito e corrigido (estava truncado, não rodava)</t>
  </si>
  <si>
    <t xml:space="preserve">Concluído</t>
  </si>
  <si>
    <t xml:space="preserve">19/06/2026</t>
  </si>
  <si>
    <t xml:space="preserve">Modelo de dados unificado (config / tvs / grades / barras)</t>
  </si>
  <si>
    <t xml:space="preserve">Admin e TVs sincronizando pelo servidor central</t>
  </si>
  <si>
    <t xml:space="preserve">Gravação atômica do conteúdo + servidor de produção (waitress)</t>
  </si>
  <si>
    <t xml:space="preserve">URLs amigáveis das TVs (/tela/&lt;slug&gt;)</t>
  </si>
  <si>
    <t xml:space="preserve">SEGURANÇA E ACESSO</t>
  </si>
  <si>
    <t xml:space="preserve">Segurança</t>
  </si>
  <si>
    <t xml:space="preserve">Login com usuário e senha (hash + sessão)</t>
  </si>
  <si>
    <t xml:space="preserve">admin / flexivel</t>
  </si>
  <si>
    <t xml:space="preserve">Tela de Usuários (criar, editar, remover) + trocar senha + sair</t>
  </si>
  <si>
    <t xml:space="preserve">Upload seguro (tipos permitidos + limite de tamanho)</t>
  </si>
  <si>
    <t xml:space="preserve">Chave de API (notícias) movida para .env, fora do Git</t>
  </si>
  <si>
    <t xml:space="preserve">22/06/2026</t>
  </si>
  <si>
    <t xml:space="preserve">ESTRUTURA E IMPLANTAÇÃO</t>
  </si>
  <si>
    <t xml:space="preserve">Estrutura</t>
  </si>
  <si>
    <t xml:space="preserve">Reorganização das pastas do projeto</t>
  </si>
  <si>
    <t xml:space="preserve">requirements.txt, README e .gitignore</t>
  </si>
  <si>
    <t xml:space="preserve">Docker (1 comando) + código em volume para atualizar sem rebuild</t>
  </si>
  <si>
    <t xml:space="preserve">Scripts de iniciar servidor e configurar as TVs</t>
  </si>
  <si>
    <t xml:space="preserve">IDENTIDADE VISUAL</t>
  </si>
  <si>
    <t xml:space="preserve">Identidade</t>
  </si>
  <si>
    <t xml:space="preserve">Logo do Grupo Flexível nas telas (login, admin, TVs)</t>
  </si>
  <si>
    <t xml:space="preserve">Paleta verde da marca + fonte Roboto</t>
  </si>
  <si>
    <t xml:space="preserve">Documento de identidade visual adaptado ao projeto</t>
  </si>
  <si>
    <t xml:space="preserve">GRADE DE PROGRAMAÇÃO (UNIFICADA)</t>
  </si>
  <si>
    <t xml:space="preserve">Grade</t>
  </si>
  <si>
    <t xml:space="preserve">Editor único 'Montar Grade' (substitui menus separados)</t>
  </si>
  <si>
    <t xml:space="preserve">Cartões visuais: miniatura, arrastar p/ reordenar, editar</t>
  </si>
  <si>
    <t xml:space="preserve">Tempo de cada slide editável no próprio cartão</t>
  </si>
  <si>
    <t xml:space="preserve">Remoção do cabeçalho do topo no display</t>
  </si>
  <si>
    <t xml:space="preserve">Remoção completa do módulo de KPI</t>
  </si>
  <si>
    <t xml:space="preserve">CONTEÚDOS / MÍDIA</t>
  </si>
  <si>
    <t xml:space="preserve">Mídia</t>
  </si>
  <si>
    <t xml:space="preserve">Imagem, vídeo (MP4) e galeria de fotos</t>
  </si>
  <si>
    <t xml:space="preserve">YouTube com player que avança no fim do vídeo</t>
  </si>
  <si>
    <t xml:space="preserve">toca mudo (autoplay)</t>
  </si>
  <si>
    <t xml:space="preserve">PDF exibido em tela cheia</t>
  </si>
  <si>
    <t xml:space="preserve">Tela cheia com fundo desfocado (sem cortar nem esticar)</t>
  </si>
  <si>
    <t xml:space="preserve">Regras de upload: PNG, JPG, JPEG, MP4, PDF + dimensões recomendadas</t>
  </si>
  <si>
    <t xml:space="preserve">BIBLIOTECA DE MÍDIA</t>
  </si>
  <si>
    <t xml:space="preserve">Biblioteca</t>
  </si>
  <si>
    <t xml:space="preserve">Pastas: criar, navegar (caminho), enviar na pasta, excluir</t>
  </si>
  <si>
    <t xml:space="preserve">Mover arquivos arrastando (atualiza referências nos slides)</t>
  </si>
  <si>
    <t xml:space="preserve">Escolher da biblioteca ao montar a grade</t>
  </si>
  <si>
    <t xml:space="preserve">BARRA INFERIOR (RODAPÉ)</t>
  </si>
  <si>
    <t xml:space="preserve">Barra</t>
  </si>
  <si>
    <t xml:space="preserve">Construtor de barra: cor (HEX/RGB) e ordem dos widgets</t>
  </si>
  <si>
    <t xml:space="preserve">Posicionar widgets: esquerda / centro / direita</t>
  </si>
  <si>
    <t xml:space="preserve">Altura da barra configurável</t>
  </si>
  <si>
    <t xml:space="preserve">Logo no rodapé com upload e opção de fundo transparente</t>
  </si>
  <si>
    <t xml:space="preserve">Data e hora com seleção de fuso horário</t>
  </si>
  <si>
    <t xml:space="preserve">Cotações Dólar e Euro (USD/BRL, EUR/BRL) diárias</t>
  </si>
  <si>
    <t xml:space="preserve">ícones $ / €</t>
  </si>
  <si>
    <t xml:space="preserve">Previsão do tempo por cidade (seleção exata por coordenadas)</t>
  </si>
  <si>
    <t xml:space="preserve">mín azul / máx vermelho</t>
  </si>
  <si>
    <t xml:space="preserve">Notícias</t>
  </si>
  <si>
    <t xml:space="preserve">Notícias por categoria: imagem + manchete + fonte</t>
  </si>
  <si>
    <t xml:space="preserve">via GNews</t>
  </si>
  <si>
    <t xml:space="preserve">1 notícia por volta da grade + palavras proibidas (global)</t>
  </si>
  <si>
    <t xml:space="preserve">PENDÊNCIAS – FASE 2</t>
  </si>
  <si>
    <t xml:space="preserve">Fase 2</t>
  </si>
  <si>
    <t xml:space="preserve">Grupos de telas (aplicar grade a um grupo)</t>
  </si>
  <si>
    <t xml:space="preserve">Pendente</t>
  </si>
  <si>
    <t xml:space="preserve">Captura de URL (print de páginas)</t>
  </si>
  <si>
    <t xml:space="preserve">Posts de redes sociais (Facebook)</t>
  </si>
  <si>
    <t xml:space="preserve">depende de API externa</t>
  </si>
  <si>
    <t xml:space="preserve">Banco de dados (hoje o conteúdo é arquivo JSON)</t>
  </si>
  <si>
    <t xml:space="preserve">Simular a grade antes de publicar</t>
  </si>
  <si>
    <t xml:space="preserve">Backup automático do conteúdo</t>
  </si>
  <si>
    <t xml:space="preserve">Troca de senha obrigatória no 1º acesso</t>
  </si>
  <si>
    <t xml:space="preserve">Testes automatizados formais</t>
  </si>
  <si>
    <t xml:space="preserve">CRONOGRAMA DE PROJETO – TV CORPORATIVA</t>
  </si>
  <si>
    <t xml:space="preserve">Gerado em: 19/06/2026   |   Escala: 6 a 20 telas   |   Versão: 1.0</t>
  </si>
  <si>
    <t xml:space="preserve">Tarefa / Entregável</t>
  </si>
  <si>
    <t xml:space="preserve">Responsável</t>
  </si>
  <si>
    <t xml:space="preserve">Início</t>
  </si>
  <si>
    <t xml:space="preserve">Fim</t>
  </si>
  <si>
    <t xml:space="preserve">Dias</t>
  </si>
  <si>
    <t xml:space="preserve">Progresso</t>
  </si>
  <si>
    <t xml:space="preserve">  FASE 1 – PLANEJAMENTO</t>
  </si>
  <si>
    <t xml:space="preserve">1.1</t>
  </si>
  <si>
    <t xml:space="preserve">Levantamento de requisitos e objetivos do projeto</t>
  </si>
  <si>
    <t xml:space="preserve">Gestão / TI</t>
  </si>
  <si>
    <t xml:space="preserve">Definir quais informações serão exibidas em cada tela</t>
  </si>
  <si>
    <t xml:space="preserve">1.2</t>
  </si>
  <si>
    <t xml:space="preserve">Mapeamento dos pontos de instalação (localização das telas)</t>
  </si>
  <si>
    <t xml:space="preserve">TI / Infraestrutura</t>
  </si>
  <si>
    <t xml:space="preserve">Planta baixa com posição de cada TV</t>
  </si>
  <si>
    <t xml:space="preserve">1.3</t>
  </si>
  <si>
    <t xml:space="preserve">Definição do layout e identidade visual dos conteúdos</t>
  </si>
  <si>
    <t xml:space="preserve">Marketing / TI</t>
  </si>
  <si>
    <t xml:space="preserve">Cores, fontes e templates das telas</t>
  </si>
  <si>
    <t xml:space="preserve">1.4</t>
  </si>
  <si>
    <t xml:space="preserve">Escolha da plataforma/software de gerenciamento de conteúdo</t>
  </si>
  <si>
    <t xml:space="preserve">TI</t>
  </si>
  <si>
    <t xml:space="preserve">Avaliar opções: Xibo, ScreenCloud, solução própria</t>
  </si>
  <si>
    <t xml:space="preserve">1.5</t>
  </si>
  <si>
    <t xml:space="preserve">Aprovação do plano de projeto pela diretoria</t>
  </si>
  <si>
    <t xml:space="preserve">Gestão</t>
  </si>
  <si>
    <t xml:space="preserve">Em andamento</t>
  </si>
  <si>
    <t xml:space="preserve">Apresentar cronograma e orçamento para aprovação</t>
  </si>
  <si>
    <t xml:space="preserve">  FASE 2 – DESENVOLVIMENTO</t>
  </si>
  <si>
    <t xml:space="preserve">2.1</t>
  </si>
  <si>
    <t xml:space="preserve">Configuração do servidor / ambiente de hospedagem</t>
  </si>
  <si>
    <t xml:space="preserve">Servidor local ou nuvem para o CMS</t>
  </si>
  <si>
    <t xml:space="preserve">2.2</t>
  </si>
  <si>
    <t xml:space="preserve">Instalação e configuração do software de gerenciamento (CMS)</t>
  </si>
  <si>
    <t xml:space="preserve">Instalar, licenciar e configurar o CMS escolhido</t>
  </si>
  <si>
    <t xml:space="preserve">2.3</t>
  </si>
  <si>
    <t xml:space="preserve">Criação dos templates e playlists de conteúdo</t>
  </si>
  <si>
    <t xml:space="preserve">TI / Marketing</t>
  </si>
  <si>
    <t xml:space="preserve">Slides, vídeos institucionais, indicadores e avisos</t>
  </si>
  <si>
    <t xml:space="preserve">2.4</t>
  </si>
  <si>
    <t xml:space="preserve">Desenvolvimento de integração com sistemas internos (ERP/BI)</t>
  </si>
  <si>
    <t xml:space="preserve">Ex: exibir dados de produção, metas ou indicadores em tempo real</t>
  </si>
  <si>
    <t xml:space="preserve">2.5</t>
  </si>
  <si>
    <t xml:space="preserve">Configuração dos players de mídia (dispositivos nas TVs)</t>
  </si>
  <si>
    <t xml:space="preserve">Raspberry Pi, Android box, ou player dedicado</t>
  </si>
  <si>
    <t xml:space="preserve">2.6</t>
  </si>
  <si>
    <t xml:space="preserve">Criação do painel de administração / agendamento de conteúdo</t>
  </si>
  <si>
    <t xml:space="preserve">Interface para equipe gerenciar o que é exibido</t>
  </si>
  <si>
    <t xml:space="preserve">  FASE 3 – TESTES E VALIDAÇÃO</t>
  </si>
  <si>
    <t xml:space="preserve">3.1</t>
  </si>
  <si>
    <t xml:space="preserve">Teste em ambiente controlado (1 tela piloto)</t>
  </si>
  <si>
    <t xml:space="preserve">Validar funcionamento completo antes de expandir</t>
  </si>
  <si>
    <t xml:space="preserve">3.2</t>
  </si>
  <si>
    <t xml:space="preserve">Ajustes e correções identificados no piloto</t>
  </si>
  <si>
    <t xml:space="preserve">Corrigir bugs, layout e fluxo de conteúdo</t>
  </si>
  <si>
    <t xml:space="preserve">3.3</t>
  </si>
  <si>
    <t xml:space="preserve">Implantação gradual nas demais telas (lotes)</t>
  </si>
  <si>
    <t xml:space="preserve">Instalar em grupos de 5 telas por vez</t>
  </si>
  <si>
    <t xml:space="preserve">3.4</t>
  </si>
  <si>
    <t xml:space="preserve">Teste de carga e estabilidade (todas as telas ativas)</t>
  </si>
  <si>
    <t xml:space="preserve">Verificar performance com todas as telas simultâneas</t>
  </si>
  <si>
    <t xml:space="preserve">3.5</t>
  </si>
  <si>
    <t xml:space="preserve">Treinamento dos usuários responsáveis pelo conteúdo</t>
  </si>
  <si>
    <t xml:space="preserve">TI / Gestão</t>
  </si>
  <si>
    <t xml:space="preserve">Capacitar equipe para gerenciar o CMS</t>
  </si>
  <si>
    <t xml:space="preserve">3.6</t>
  </si>
  <si>
    <t xml:space="preserve">Aprovação final e entrega em produção</t>
  </si>
  <si>
    <t xml:space="preserve">Validação final com responsáveis e go-live oficial</t>
  </si>
  <si>
    <t xml:space="preserve">PROGRESSO GERAL DO PROJETO</t>
  </si>
  <si>
    <t xml:space="preserve">LEGENDA DE STATUS:</t>
  </si>
  <si>
    <t xml:space="preserve">Não iniciado</t>
  </si>
  <si>
    <t xml:space="preserve">Atrasado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</si>
</sst>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0C3B3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D3A4A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0C3B38"/>
        <bgColor rgb="FF1F3864"/>
      </patternFill>
    </fill>
    <fill>
      <patternFill patternType="solid">
        <fgColor rgb="FF0F7C70"/>
        <bgColor rgb="FF008080"/>
      </patternFill>
    </fill>
    <fill>
      <patternFill patternType="solid">
        <fgColor rgb="FFEEF3F1"/>
        <bgColor rgb="FFEEF2F7"/>
      </patternFill>
    </fill>
    <fill>
      <patternFill patternType="solid">
        <fgColor rgb="FF14534D"/>
        <bgColor rgb="FF0C3B38"/>
      </patternFill>
    </fill>
    <fill>
      <patternFill patternType="solid">
        <fgColor rgb="FFFFFFFF"/>
        <bgColor rgb="FFFFFAE5"/>
      </patternFill>
    </fill>
    <fill>
      <patternFill patternType="solid">
        <fgColor rgb="FF2E7D32"/>
        <bgColor rgb="FF0F7C70"/>
      </patternFill>
    </fill>
    <fill>
      <patternFill patternType="solid">
        <fgColor rgb="FFEF8C00"/>
        <bgColor rgb="FFFF6600"/>
      </patternFill>
    </fill>
    <fill>
      <patternFill patternType="solid">
        <fgColor rgb="FF1F3864"/>
        <bgColor rgb="FF2D3A4A"/>
      </patternFill>
    </fill>
    <fill>
      <patternFill patternType="solid">
        <fgColor rgb="FFEEF2F7"/>
        <bgColor rgb="FFEEF3F1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5DFDC"/>
      </patternFill>
    </fill>
    <fill>
      <patternFill patternType="solid">
        <fgColor rgb="FF6AAF3D"/>
        <bgColor rgb="FF808000"/>
      </patternFill>
    </fill>
    <fill>
      <patternFill patternType="solid">
        <fgColor rgb="FFEAF3FB"/>
        <bgColor rgb="FFEEF2F7"/>
      </patternFill>
    </fill>
    <fill>
      <patternFill patternType="solid">
        <fgColor rgb="FFF4B942"/>
        <bgColor rgb="FFEF8C00"/>
      </patternFill>
    </fill>
    <fill>
      <patternFill patternType="solid">
        <fgColor rgb="FFD9EAD3"/>
        <bgColor rgb="FFD5DFDC"/>
      </patternFill>
    </fill>
    <fill>
      <patternFill patternType="solid">
        <fgColor rgb="FFEAF5E5"/>
        <bgColor rgb="FFEEF3F1"/>
      </patternFill>
    </fill>
    <fill>
      <patternFill patternType="solid">
        <fgColor rgb="FFFFF2CC"/>
        <bgColor rgb="FFFFFAE5"/>
      </patternFill>
    </fill>
    <fill>
      <patternFill patternType="solid">
        <fgColor rgb="FFFFFAE5"/>
        <bgColor rgb="FFFFFFFF"/>
      </patternFill>
    </fill>
    <fill>
      <patternFill patternType="solid">
        <fgColor rgb="FFC0C0C0"/>
        <bgColor rgb="FFB0B0B0"/>
      </patternFill>
    </fill>
    <fill>
      <patternFill patternType="solid">
        <fgColor rgb="FFE06C75"/>
        <bgColor rgb="FFFF66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D5DFDC"/>
      </left>
      <right/>
      <top style="thin">
        <color rgb="FFD5DFDC"/>
      </top>
      <bottom style="thin">
        <color rgb="FFD5DFDC"/>
      </bottom>
      <diagonal/>
    </border>
    <border diagonalUp="false" diagonalDown="false">
      <left style="thin">
        <color rgb="FFD5DFDC"/>
      </left>
      <right style="thin">
        <color rgb="FFD5DFDC"/>
      </right>
      <top style="thin">
        <color rgb="FFD5DFDC"/>
      </top>
      <bottom style="thin">
        <color rgb="FFD5DFDC"/>
      </bottom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2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C70"/>
      <rgbColor rgb="FFC0C0C0"/>
      <rgbColor rgb="FF808080"/>
      <rgbColor rgb="FF9999FF"/>
      <rgbColor rgb="FF993366"/>
      <rgbColor rgb="FFFFFAE5"/>
      <rgbColor rgb="FFEAF3FB"/>
      <rgbColor rgb="FF660066"/>
      <rgbColor rgb="FFE06C75"/>
      <rgbColor rgb="FF0066CC"/>
      <rgbColor rgb="FFD5DF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5E5"/>
      <rgbColor rgb="FFD9EAD3"/>
      <rgbColor rgb="FFFFF2CC"/>
      <rgbColor rgb="FFD6E4F0"/>
      <rgbColor rgb="FFEEF2F7"/>
      <rgbColor rgb="FFCC99FF"/>
      <rgbColor rgb="FFEEF3F1"/>
      <rgbColor rgb="FF2E75B6"/>
      <rgbColor rgb="FF33CCCC"/>
      <rgbColor rgb="FF6AAF3D"/>
      <rgbColor rgb="FFF4B942"/>
      <rgbColor rgb="FFEF8C00"/>
      <rgbColor rgb="FFFF6600"/>
      <rgbColor rgb="FF555555"/>
      <rgbColor rgb="FFB0B0B0"/>
      <rgbColor rgb="FF1F3864"/>
      <rgbColor rgb="FF2E7D32"/>
      <rgbColor rgb="FF0C3B38"/>
      <rgbColor rgb="FF333300"/>
      <rgbColor rgb="FF993300"/>
      <rgbColor rgb="FF993366"/>
      <rgbColor rgb="FF14534D"/>
      <rgbColor rgb="FF2D3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tr">
        <f aca="false">CONCATENATE("Concluídos: ",COUNTIF(D5:D59,"Concluído"),"   |   Pendentes: ",COUNTIF(D5:D59,"Pendente"),"   |   % concluído: ",TEXT(COUNTIF(D5:D59,"Concluído")/(COUNTIF(D5:D59,"Concluído")+COUNTIF(D5:D59,"Pendente")),"0%"))</f>
        <v>Concluídos: 38   |   Pendentes: 8   |   % concluído: 83%</v>
      </c>
      <c r="B3" s="3"/>
      <c r="C3" s="3"/>
      <c r="D3" s="3"/>
      <c r="E3" s="3"/>
      <c r="F3" s="3"/>
    </row>
    <row r="4" customFormat="false" ht="19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8" hidden="false" customHeight="true" outlineLevel="0" collapsed="false">
      <c r="A5" s="5" t="s">
        <v>8</v>
      </c>
      <c r="B5" s="5"/>
      <c r="C5" s="5"/>
      <c r="D5" s="5"/>
      <c r="E5" s="5"/>
      <c r="F5" s="5"/>
    </row>
    <row r="6" customFormat="false" ht="25.5" hidden="false" customHeight="true" outlineLevel="0" collapsed="false">
      <c r="A6" s="6" t="n">
        <v>1</v>
      </c>
      <c r="B6" s="7" t="s">
        <v>9</v>
      </c>
      <c r="C6" s="8" t="s">
        <v>10</v>
      </c>
      <c r="D6" s="9" t="s">
        <v>11</v>
      </c>
      <c r="E6" s="6" t="s">
        <v>12</v>
      </c>
      <c r="F6" s="8"/>
    </row>
    <row r="7" customFormat="false" ht="25.5" hidden="false" customHeight="true" outlineLevel="0" collapsed="false">
      <c r="A7" s="10" t="n">
        <v>2</v>
      </c>
      <c r="B7" s="11" t="s">
        <v>9</v>
      </c>
      <c r="C7" s="12" t="s">
        <v>13</v>
      </c>
      <c r="D7" s="9" t="s">
        <v>11</v>
      </c>
      <c r="E7" s="10" t="s">
        <v>12</v>
      </c>
      <c r="F7" s="12"/>
    </row>
    <row r="8" customFormat="false" ht="25.5" hidden="false" customHeight="true" outlineLevel="0" collapsed="false">
      <c r="A8" s="6" t="n">
        <v>3</v>
      </c>
      <c r="B8" s="7" t="s">
        <v>9</v>
      </c>
      <c r="C8" s="8" t="s">
        <v>14</v>
      </c>
      <c r="D8" s="9" t="s">
        <v>11</v>
      </c>
      <c r="E8" s="6" t="s">
        <v>12</v>
      </c>
      <c r="F8" s="8"/>
    </row>
    <row r="9" customFormat="false" ht="25.5" hidden="false" customHeight="true" outlineLevel="0" collapsed="false">
      <c r="A9" s="10" t="n">
        <v>4</v>
      </c>
      <c r="B9" s="11" t="s">
        <v>9</v>
      </c>
      <c r="C9" s="12" t="s">
        <v>15</v>
      </c>
      <c r="D9" s="9" t="s">
        <v>11</v>
      </c>
      <c r="E9" s="10" t="s">
        <v>12</v>
      </c>
      <c r="F9" s="12"/>
    </row>
    <row r="10" customFormat="false" ht="25.5" hidden="false" customHeight="true" outlineLevel="0" collapsed="false">
      <c r="A10" s="6" t="n">
        <v>5</v>
      </c>
      <c r="B10" s="7" t="s">
        <v>9</v>
      </c>
      <c r="C10" s="8" t="s">
        <v>16</v>
      </c>
      <c r="D10" s="9" t="s">
        <v>11</v>
      </c>
      <c r="E10" s="6" t="s">
        <v>12</v>
      </c>
      <c r="F10" s="8"/>
    </row>
    <row r="11" customFormat="false" ht="18" hidden="false" customHeight="true" outlineLevel="0" collapsed="false">
      <c r="A11" s="5" t="s">
        <v>17</v>
      </c>
      <c r="B11" s="5"/>
      <c r="C11" s="5"/>
      <c r="D11" s="5"/>
      <c r="E11" s="5"/>
      <c r="F11" s="5"/>
    </row>
    <row r="12" customFormat="false" ht="25.5" hidden="false" customHeight="true" outlineLevel="0" collapsed="false">
      <c r="A12" s="6" t="n">
        <v>6</v>
      </c>
      <c r="B12" s="7" t="s">
        <v>18</v>
      </c>
      <c r="C12" s="8" t="s">
        <v>19</v>
      </c>
      <c r="D12" s="9" t="s">
        <v>11</v>
      </c>
      <c r="E12" s="6" t="s">
        <v>12</v>
      </c>
      <c r="F12" s="8" t="s">
        <v>20</v>
      </c>
    </row>
    <row r="13" customFormat="false" ht="25.5" hidden="false" customHeight="true" outlineLevel="0" collapsed="false">
      <c r="A13" s="10" t="n">
        <v>7</v>
      </c>
      <c r="B13" s="11" t="s">
        <v>18</v>
      </c>
      <c r="C13" s="12" t="s">
        <v>21</v>
      </c>
      <c r="D13" s="9" t="s">
        <v>11</v>
      </c>
      <c r="E13" s="10" t="s">
        <v>12</v>
      </c>
      <c r="F13" s="12"/>
    </row>
    <row r="14" customFormat="false" ht="25.5" hidden="false" customHeight="true" outlineLevel="0" collapsed="false">
      <c r="A14" s="6" t="n">
        <v>8</v>
      </c>
      <c r="B14" s="7" t="s">
        <v>18</v>
      </c>
      <c r="C14" s="8" t="s">
        <v>22</v>
      </c>
      <c r="D14" s="9" t="s">
        <v>11</v>
      </c>
      <c r="E14" s="6" t="s">
        <v>12</v>
      </c>
      <c r="F14" s="8"/>
    </row>
    <row r="15" customFormat="false" ht="25.5" hidden="false" customHeight="true" outlineLevel="0" collapsed="false">
      <c r="A15" s="10" t="n">
        <v>9</v>
      </c>
      <c r="B15" s="11" t="s">
        <v>18</v>
      </c>
      <c r="C15" s="12" t="s">
        <v>23</v>
      </c>
      <c r="D15" s="9" t="s">
        <v>11</v>
      </c>
      <c r="E15" s="10" t="s">
        <v>24</v>
      </c>
      <c r="F15" s="12"/>
    </row>
    <row r="16" customFormat="false" ht="18" hidden="false" customHeight="true" outlineLevel="0" collapsed="false">
      <c r="A16" s="5" t="s">
        <v>25</v>
      </c>
      <c r="B16" s="5"/>
      <c r="C16" s="5"/>
      <c r="D16" s="5"/>
      <c r="E16" s="5"/>
      <c r="F16" s="5"/>
    </row>
    <row r="17" customFormat="false" ht="25.5" hidden="false" customHeight="true" outlineLevel="0" collapsed="false">
      <c r="A17" s="10" t="n">
        <v>10</v>
      </c>
      <c r="B17" s="11" t="s">
        <v>26</v>
      </c>
      <c r="C17" s="12" t="s">
        <v>27</v>
      </c>
      <c r="D17" s="9" t="s">
        <v>11</v>
      </c>
      <c r="E17" s="10" t="s">
        <v>12</v>
      </c>
      <c r="F17" s="12"/>
    </row>
    <row r="18" customFormat="false" ht="25.5" hidden="false" customHeight="true" outlineLevel="0" collapsed="false">
      <c r="A18" s="6" t="n">
        <v>11</v>
      </c>
      <c r="B18" s="7" t="s">
        <v>26</v>
      </c>
      <c r="C18" s="8" t="s">
        <v>28</v>
      </c>
      <c r="D18" s="9" t="s">
        <v>11</v>
      </c>
      <c r="E18" s="6" t="s">
        <v>12</v>
      </c>
      <c r="F18" s="8"/>
    </row>
    <row r="19" customFormat="false" ht="25.5" hidden="false" customHeight="true" outlineLevel="0" collapsed="false">
      <c r="A19" s="10" t="n">
        <v>12</v>
      </c>
      <c r="B19" s="11" t="s">
        <v>26</v>
      </c>
      <c r="C19" s="12" t="s">
        <v>29</v>
      </c>
      <c r="D19" s="9" t="s">
        <v>11</v>
      </c>
      <c r="E19" s="10" t="s">
        <v>24</v>
      </c>
      <c r="F19" s="12"/>
    </row>
    <row r="20" customFormat="false" ht="25.5" hidden="false" customHeight="true" outlineLevel="0" collapsed="false">
      <c r="A20" s="6" t="n">
        <v>13</v>
      </c>
      <c r="B20" s="7" t="s">
        <v>26</v>
      </c>
      <c r="C20" s="8" t="s">
        <v>30</v>
      </c>
      <c r="D20" s="9" t="s">
        <v>11</v>
      </c>
      <c r="E20" s="6" t="s">
        <v>12</v>
      </c>
      <c r="F20" s="8"/>
    </row>
    <row r="21" customFormat="false" ht="18" hidden="false" customHeight="true" outlineLevel="0" collapsed="false">
      <c r="A21" s="5" t="s">
        <v>31</v>
      </c>
      <c r="B21" s="5"/>
      <c r="C21" s="5"/>
      <c r="D21" s="5"/>
      <c r="E21" s="5"/>
      <c r="F21" s="5"/>
    </row>
    <row r="22" customFormat="false" ht="25.5" hidden="false" customHeight="true" outlineLevel="0" collapsed="false">
      <c r="A22" s="6" t="n">
        <v>14</v>
      </c>
      <c r="B22" s="7" t="s">
        <v>32</v>
      </c>
      <c r="C22" s="8" t="s">
        <v>33</v>
      </c>
      <c r="D22" s="9" t="s">
        <v>11</v>
      </c>
      <c r="E22" s="6" t="s">
        <v>12</v>
      </c>
      <c r="F22" s="8"/>
    </row>
    <row r="23" customFormat="false" ht="25.5" hidden="false" customHeight="true" outlineLevel="0" collapsed="false">
      <c r="A23" s="10" t="n">
        <v>15</v>
      </c>
      <c r="B23" s="11" t="s">
        <v>32</v>
      </c>
      <c r="C23" s="12" t="s">
        <v>34</v>
      </c>
      <c r="D23" s="9" t="s">
        <v>11</v>
      </c>
      <c r="E23" s="10" t="s">
        <v>12</v>
      </c>
      <c r="F23" s="12"/>
    </row>
    <row r="24" customFormat="false" ht="25.5" hidden="false" customHeight="true" outlineLevel="0" collapsed="false">
      <c r="A24" s="6" t="n">
        <v>16</v>
      </c>
      <c r="B24" s="7" t="s">
        <v>32</v>
      </c>
      <c r="C24" s="8" t="s">
        <v>35</v>
      </c>
      <c r="D24" s="9" t="s">
        <v>11</v>
      </c>
      <c r="E24" s="6" t="s">
        <v>12</v>
      </c>
      <c r="F24" s="8"/>
    </row>
    <row r="25" customFormat="false" ht="18" hidden="false" customHeight="true" outlineLevel="0" collapsed="false">
      <c r="A25" s="5" t="s">
        <v>36</v>
      </c>
      <c r="B25" s="5"/>
      <c r="C25" s="5"/>
      <c r="D25" s="5"/>
      <c r="E25" s="5"/>
      <c r="F25" s="5"/>
    </row>
    <row r="26" customFormat="false" ht="25.5" hidden="false" customHeight="true" outlineLevel="0" collapsed="false">
      <c r="A26" s="6" t="n">
        <v>17</v>
      </c>
      <c r="B26" s="7" t="s">
        <v>37</v>
      </c>
      <c r="C26" s="8" t="s">
        <v>38</v>
      </c>
      <c r="D26" s="9" t="s">
        <v>11</v>
      </c>
      <c r="E26" s="6" t="s">
        <v>24</v>
      </c>
      <c r="F26" s="8"/>
    </row>
    <row r="27" customFormat="false" ht="25.5" hidden="false" customHeight="true" outlineLevel="0" collapsed="false">
      <c r="A27" s="10" t="n">
        <v>18</v>
      </c>
      <c r="B27" s="11" t="s">
        <v>37</v>
      </c>
      <c r="C27" s="12" t="s">
        <v>39</v>
      </c>
      <c r="D27" s="9" t="s">
        <v>11</v>
      </c>
      <c r="E27" s="10" t="s">
        <v>24</v>
      </c>
      <c r="F27" s="12"/>
    </row>
    <row r="28" customFormat="false" ht="25.5" hidden="false" customHeight="true" outlineLevel="0" collapsed="false">
      <c r="A28" s="6" t="n">
        <v>19</v>
      </c>
      <c r="B28" s="7" t="s">
        <v>37</v>
      </c>
      <c r="C28" s="8" t="s">
        <v>40</v>
      </c>
      <c r="D28" s="9" t="s">
        <v>11</v>
      </c>
      <c r="E28" s="6" t="s">
        <v>24</v>
      </c>
      <c r="F28" s="8"/>
    </row>
    <row r="29" customFormat="false" ht="25.5" hidden="false" customHeight="true" outlineLevel="0" collapsed="false">
      <c r="A29" s="10" t="n">
        <v>20</v>
      </c>
      <c r="B29" s="11" t="s">
        <v>37</v>
      </c>
      <c r="C29" s="12" t="s">
        <v>41</v>
      </c>
      <c r="D29" s="9" t="s">
        <v>11</v>
      </c>
      <c r="E29" s="10" t="s">
        <v>12</v>
      </c>
      <c r="F29" s="12"/>
    </row>
    <row r="30" customFormat="false" ht="25.5" hidden="false" customHeight="true" outlineLevel="0" collapsed="false">
      <c r="A30" s="6" t="n">
        <v>21</v>
      </c>
      <c r="B30" s="7" t="s">
        <v>37</v>
      </c>
      <c r="C30" s="8" t="s">
        <v>42</v>
      </c>
      <c r="D30" s="9" t="s">
        <v>11</v>
      </c>
      <c r="E30" s="6" t="s">
        <v>12</v>
      </c>
      <c r="F30" s="8"/>
    </row>
    <row r="31" customFormat="false" ht="18" hidden="false" customHeight="true" outlineLevel="0" collapsed="false">
      <c r="A31" s="5" t="s">
        <v>43</v>
      </c>
      <c r="B31" s="5"/>
      <c r="C31" s="5"/>
      <c r="D31" s="5"/>
      <c r="E31" s="5"/>
      <c r="F31" s="5"/>
    </row>
    <row r="32" customFormat="false" ht="25.5" hidden="false" customHeight="true" outlineLevel="0" collapsed="false">
      <c r="A32" s="6" t="n">
        <v>22</v>
      </c>
      <c r="B32" s="7" t="s">
        <v>44</v>
      </c>
      <c r="C32" s="8" t="s">
        <v>45</v>
      </c>
      <c r="D32" s="9" t="s">
        <v>11</v>
      </c>
      <c r="E32" s="6" t="s">
        <v>12</v>
      </c>
      <c r="F32" s="8"/>
    </row>
    <row r="33" customFormat="false" ht="25.5" hidden="false" customHeight="true" outlineLevel="0" collapsed="false">
      <c r="A33" s="10" t="n">
        <v>23</v>
      </c>
      <c r="B33" s="11" t="s">
        <v>44</v>
      </c>
      <c r="C33" s="12" t="s">
        <v>46</v>
      </c>
      <c r="D33" s="9" t="s">
        <v>11</v>
      </c>
      <c r="E33" s="10" t="s">
        <v>24</v>
      </c>
      <c r="F33" s="12" t="s">
        <v>47</v>
      </c>
    </row>
    <row r="34" customFormat="false" ht="25.5" hidden="false" customHeight="true" outlineLevel="0" collapsed="false">
      <c r="A34" s="6" t="n">
        <v>24</v>
      </c>
      <c r="B34" s="7" t="s">
        <v>44</v>
      </c>
      <c r="C34" s="8" t="s">
        <v>48</v>
      </c>
      <c r="D34" s="9" t="s">
        <v>11</v>
      </c>
      <c r="E34" s="6" t="s">
        <v>24</v>
      </c>
      <c r="F34" s="8"/>
    </row>
    <row r="35" customFormat="false" ht="25.5" hidden="false" customHeight="true" outlineLevel="0" collapsed="false">
      <c r="A35" s="10" t="n">
        <v>25</v>
      </c>
      <c r="B35" s="11" t="s">
        <v>44</v>
      </c>
      <c r="C35" s="12" t="s">
        <v>49</v>
      </c>
      <c r="D35" s="9" t="s">
        <v>11</v>
      </c>
      <c r="E35" s="10" t="s">
        <v>24</v>
      </c>
      <c r="F35" s="12"/>
    </row>
    <row r="36" customFormat="false" ht="25.5" hidden="false" customHeight="true" outlineLevel="0" collapsed="false">
      <c r="A36" s="6" t="n">
        <v>26</v>
      </c>
      <c r="B36" s="7" t="s">
        <v>44</v>
      </c>
      <c r="C36" s="8" t="s">
        <v>50</v>
      </c>
      <c r="D36" s="9" t="s">
        <v>11</v>
      </c>
      <c r="E36" s="6" t="s">
        <v>24</v>
      </c>
      <c r="F36" s="8"/>
    </row>
    <row r="37" customFormat="false" ht="18" hidden="false" customHeight="true" outlineLevel="0" collapsed="false">
      <c r="A37" s="5" t="s">
        <v>51</v>
      </c>
      <c r="B37" s="5"/>
      <c r="C37" s="5"/>
      <c r="D37" s="5"/>
      <c r="E37" s="5"/>
      <c r="F37" s="5"/>
    </row>
    <row r="38" customFormat="false" ht="25.5" hidden="false" customHeight="true" outlineLevel="0" collapsed="false">
      <c r="A38" s="6" t="n">
        <v>27</v>
      </c>
      <c r="B38" s="7" t="s">
        <v>52</v>
      </c>
      <c r="C38" s="8" t="s">
        <v>53</v>
      </c>
      <c r="D38" s="9" t="s">
        <v>11</v>
      </c>
      <c r="E38" s="6" t="s">
        <v>24</v>
      </c>
      <c r="F38" s="8"/>
    </row>
    <row r="39" customFormat="false" ht="25.5" hidden="false" customHeight="true" outlineLevel="0" collapsed="false">
      <c r="A39" s="10" t="n">
        <v>28</v>
      </c>
      <c r="B39" s="11" t="s">
        <v>52</v>
      </c>
      <c r="C39" s="12" t="s">
        <v>54</v>
      </c>
      <c r="D39" s="9" t="s">
        <v>11</v>
      </c>
      <c r="E39" s="10" t="s">
        <v>24</v>
      </c>
      <c r="F39" s="12"/>
    </row>
    <row r="40" customFormat="false" ht="25.5" hidden="false" customHeight="true" outlineLevel="0" collapsed="false">
      <c r="A40" s="6" t="n">
        <v>29</v>
      </c>
      <c r="B40" s="7" t="s">
        <v>52</v>
      </c>
      <c r="C40" s="8" t="s">
        <v>55</v>
      </c>
      <c r="D40" s="9" t="s">
        <v>11</v>
      </c>
      <c r="E40" s="6" t="s">
        <v>24</v>
      </c>
      <c r="F40" s="8"/>
    </row>
    <row r="41" customFormat="false" ht="18" hidden="false" customHeight="true" outlineLevel="0" collapsed="false">
      <c r="A41" s="5" t="s">
        <v>56</v>
      </c>
      <c r="B41" s="5"/>
      <c r="C41" s="5"/>
      <c r="D41" s="5"/>
      <c r="E41" s="5"/>
      <c r="F41" s="5"/>
    </row>
    <row r="42" customFormat="false" ht="25.5" hidden="false" customHeight="true" outlineLevel="0" collapsed="false">
      <c r="A42" s="6" t="n">
        <v>30</v>
      </c>
      <c r="B42" s="7" t="s">
        <v>57</v>
      </c>
      <c r="C42" s="8" t="s">
        <v>58</v>
      </c>
      <c r="D42" s="9" t="s">
        <v>11</v>
      </c>
      <c r="E42" s="6" t="s">
        <v>12</v>
      </c>
      <c r="F42" s="8"/>
    </row>
    <row r="43" customFormat="false" ht="25.5" hidden="false" customHeight="true" outlineLevel="0" collapsed="false">
      <c r="A43" s="10" t="n">
        <v>31</v>
      </c>
      <c r="B43" s="11" t="s">
        <v>57</v>
      </c>
      <c r="C43" s="12" t="s">
        <v>59</v>
      </c>
      <c r="D43" s="9" t="s">
        <v>11</v>
      </c>
      <c r="E43" s="10" t="s">
        <v>24</v>
      </c>
      <c r="F43" s="12"/>
    </row>
    <row r="44" customFormat="false" ht="25.5" hidden="false" customHeight="true" outlineLevel="0" collapsed="false">
      <c r="A44" s="6" t="n">
        <v>32</v>
      </c>
      <c r="B44" s="7" t="s">
        <v>57</v>
      </c>
      <c r="C44" s="8" t="s">
        <v>60</v>
      </c>
      <c r="D44" s="9" t="s">
        <v>11</v>
      </c>
      <c r="E44" s="6" t="s">
        <v>24</v>
      </c>
      <c r="F44" s="8"/>
    </row>
    <row r="45" customFormat="false" ht="25.5" hidden="false" customHeight="true" outlineLevel="0" collapsed="false">
      <c r="A45" s="10" t="n">
        <v>33</v>
      </c>
      <c r="B45" s="11" t="s">
        <v>57</v>
      </c>
      <c r="C45" s="12" t="s">
        <v>61</v>
      </c>
      <c r="D45" s="9" t="s">
        <v>11</v>
      </c>
      <c r="E45" s="10" t="s">
        <v>24</v>
      </c>
      <c r="F45" s="12"/>
    </row>
    <row r="46" customFormat="false" ht="25.5" hidden="false" customHeight="true" outlineLevel="0" collapsed="false">
      <c r="A46" s="6" t="n">
        <v>34</v>
      </c>
      <c r="B46" s="7" t="s">
        <v>57</v>
      </c>
      <c r="C46" s="8" t="s">
        <v>62</v>
      </c>
      <c r="D46" s="9" t="s">
        <v>11</v>
      </c>
      <c r="E46" s="6" t="s">
        <v>12</v>
      </c>
      <c r="F46" s="8"/>
    </row>
    <row r="47" customFormat="false" ht="25.5" hidden="false" customHeight="true" outlineLevel="0" collapsed="false">
      <c r="A47" s="10" t="n">
        <v>35</v>
      </c>
      <c r="B47" s="11" t="s">
        <v>57</v>
      </c>
      <c r="C47" s="12" t="s">
        <v>63</v>
      </c>
      <c r="D47" s="9" t="s">
        <v>11</v>
      </c>
      <c r="E47" s="10" t="s">
        <v>12</v>
      </c>
      <c r="F47" s="12" t="s">
        <v>64</v>
      </c>
    </row>
    <row r="48" customFormat="false" ht="25.5" hidden="false" customHeight="true" outlineLevel="0" collapsed="false">
      <c r="A48" s="6" t="n">
        <v>36</v>
      </c>
      <c r="B48" s="7" t="s">
        <v>57</v>
      </c>
      <c r="C48" s="8" t="s">
        <v>65</v>
      </c>
      <c r="D48" s="9" t="s">
        <v>11</v>
      </c>
      <c r="E48" s="6" t="s">
        <v>24</v>
      </c>
      <c r="F48" s="8" t="s">
        <v>66</v>
      </c>
    </row>
    <row r="49" customFormat="false" ht="25.5" hidden="false" customHeight="true" outlineLevel="0" collapsed="false">
      <c r="A49" s="10" t="n">
        <v>37</v>
      </c>
      <c r="B49" s="11" t="s">
        <v>67</v>
      </c>
      <c r="C49" s="12" t="s">
        <v>68</v>
      </c>
      <c r="D49" s="9" t="s">
        <v>11</v>
      </c>
      <c r="E49" s="10" t="s">
        <v>24</v>
      </c>
      <c r="F49" s="12" t="s">
        <v>69</v>
      </c>
    </row>
    <row r="50" customFormat="false" ht="25.5" hidden="false" customHeight="true" outlineLevel="0" collapsed="false">
      <c r="A50" s="6" t="n">
        <v>38</v>
      </c>
      <c r="B50" s="7" t="s">
        <v>67</v>
      </c>
      <c r="C50" s="8" t="s">
        <v>70</v>
      </c>
      <c r="D50" s="9" t="s">
        <v>11</v>
      </c>
      <c r="E50" s="6" t="s">
        <v>24</v>
      </c>
      <c r="F50" s="8"/>
    </row>
    <row r="51" customFormat="false" ht="18" hidden="false" customHeight="true" outlineLevel="0" collapsed="false">
      <c r="A51" s="5" t="s">
        <v>71</v>
      </c>
      <c r="B51" s="5"/>
      <c r="C51" s="5"/>
      <c r="D51" s="5"/>
      <c r="E51" s="5"/>
      <c r="F51" s="5"/>
    </row>
    <row r="52" customFormat="false" ht="25.5" hidden="false" customHeight="true" outlineLevel="0" collapsed="false">
      <c r="A52" s="6" t="n">
        <v>39</v>
      </c>
      <c r="B52" s="7" t="s">
        <v>72</v>
      </c>
      <c r="C52" s="8" t="s">
        <v>73</v>
      </c>
      <c r="D52" s="13" t="s">
        <v>74</v>
      </c>
      <c r="E52" s="6"/>
      <c r="F52" s="8"/>
    </row>
    <row r="53" customFormat="false" ht="25.5" hidden="false" customHeight="true" outlineLevel="0" collapsed="false">
      <c r="A53" s="10" t="n">
        <v>40</v>
      </c>
      <c r="B53" s="11" t="s">
        <v>72</v>
      </c>
      <c r="C53" s="12" t="s">
        <v>75</v>
      </c>
      <c r="D53" s="13" t="s">
        <v>74</v>
      </c>
      <c r="E53" s="10"/>
      <c r="F53" s="12"/>
    </row>
    <row r="54" customFormat="false" ht="25.5" hidden="false" customHeight="true" outlineLevel="0" collapsed="false">
      <c r="A54" s="6" t="n">
        <v>41</v>
      </c>
      <c r="B54" s="7" t="s">
        <v>72</v>
      </c>
      <c r="C54" s="8" t="s">
        <v>76</v>
      </c>
      <c r="D54" s="13" t="s">
        <v>74</v>
      </c>
      <c r="E54" s="6"/>
      <c r="F54" s="8" t="s">
        <v>77</v>
      </c>
    </row>
    <row r="55" customFormat="false" ht="25.5" hidden="false" customHeight="true" outlineLevel="0" collapsed="false">
      <c r="A55" s="10" t="n">
        <v>42</v>
      </c>
      <c r="B55" s="11" t="s">
        <v>72</v>
      </c>
      <c r="C55" s="12" t="s">
        <v>78</v>
      </c>
      <c r="D55" s="13" t="s">
        <v>74</v>
      </c>
      <c r="E55" s="10"/>
      <c r="F55" s="12"/>
    </row>
    <row r="56" customFormat="false" ht="25.5" hidden="false" customHeight="true" outlineLevel="0" collapsed="false">
      <c r="A56" s="6" t="n">
        <v>43</v>
      </c>
      <c r="B56" s="7" t="s">
        <v>72</v>
      </c>
      <c r="C56" s="8" t="s">
        <v>79</v>
      </c>
      <c r="D56" s="13" t="s">
        <v>74</v>
      </c>
      <c r="E56" s="6"/>
      <c r="F56" s="8"/>
    </row>
    <row r="57" customFormat="false" ht="25.5" hidden="false" customHeight="true" outlineLevel="0" collapsed="false">
      <c r="A57" s="10" t="n">
        <v>44</v>
      </c>
      <c r="B57" s="11" t="s">
        <v>72</v>
      </c>
      <c r="C57" s="12" t="s">
        <v>80</v>
      </c>
      <c r="D57" s="13" t="s">
        <v>74</v>
      </c>
      <c r="E57" s="10"/>
      <c r="F57" s="12"/>
    </row>
    <row r="58" customFormat="false" ht="25.5" hidden="false" customHeight="true" outlineLevel="0" collapsed="false">
      <c r="A58" s="6" t="n">
        <v>45</v>
      </c>
      <c r="B58" s="7" t="s">
        <v>72</v>
      </c>
      <c r="C58" s="8" t="s">
        <v>81</v>
      </c>
      <c r="D58" s="13" t="s">
        <v>74</v>
      </c>
      <c r="E58" s="6"/>
      <c r="F58" s="8"/>
    </row>
    <row r="59" customFormat="false" ht="25.5" hidden="false" customHeight="true" outlineLevel="0" collapsed="false">
      <c r="A59" s="10" t="n">
        <v>46</v>
      </c>
      <c r="B59" s="11" t="s">
        <v>72</v>
      </c>
      <c r="C59" s="12" t="s">
        <v>82</v>
      </c>
      <c r="D59" s="13" t="s">
        <v>74</v>
      </c>
      <c r="E59" s="10"/>
      <c r="F59" s="12"/>
    </row>
  </sheetData>
  <mergeCells count="12">
    <mergeCell ref="A1:F1"/>
    <mergeCell ref="A2:F2"/>
    <mergeCell ref="A3:F3"/>
    <mergeCell ref="A5:F5"/>
    <mergeCell ref="A11:F11"/>
    <mergeCell ref="A16:F16"/>
    <mergeCell ref="A21:F21"/>
    <mergeCell ref="A25:F25"/>
    <mergeCell ref="A31:F31"/>
    <mergeCell ref="A37:F37"/>
    <mergeCell ref="A41:F41"/>
    <mergeCell ref="A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4" width="4"/>
    <col collapsed="false" customWidth="true" hidden="false" outlineLevel="0" max="2" min="2" style="14" width="38"/>
    <col collapsed="false" customWidth="true" hidden="false" outlineLevel="0" max="3" min="3" style="14" width="16"/>
    <col collapsed="false" customWidth="true" hidden="false" outlineLevel="0" max="5" min="4" style="14" width="13"/>
    <col collapsed="false" customWidth="true" hidden="false" outlineLevel="0" max="6" min="6" style="14" width="10"/>
    <col collapsed="false" customWidth="true" hidden="false" outlineLevel="0" max="7" min="7" style="14" width="13"/>
    <col collapsed="false" customWidth="true" hidden="false" outlineLevel="0" max="8" min="8" style="14" width="12"/>
    <col collapsed="false" customWidth="true" hidden="false" outlineLevel="0" max="9" min="9" style="14" width="30"/>
  </cols>
  <sheetData>
    <row r="1" customFormat="false" ht="31.5" hidden="false" customHeight="true" outlineLevel="0" collapsed="false">
      <c r="A1" s="15" t="s">
        <v>83</v>
      </c>
      <c r="B1" s="15"/>
      <c r="C1" s="15"/>
      <c r="D1" s="15"/>
      <c r="E1" s="15"/>
      <c r="F1" s="15"/>
      <c r="G1" s="15"/>
      <c r="H1" s="15"/>
      <c r="I1" s="15"/>
    </row>
    <row r="2" customFormat="false" ht="15.75" hidden="false" customHeight="true" outlineLevel="0" collapsed="false">
      <c r="A2" s="16" t="s">
        <v>84</v>
      </c>
      <c r="B2" s="16"/>
      <c r="C2" s="16"/>
      <c r="D2" s="16"/>
      <c r="E2" s="16"/>
      <c r="F2" s="16"/>
      <c r="G2" s="16"/>
      <c r="H2" s="16"/>
      <c r="I2" s="16"/>
    </row>
    <row r="3" customFormat="false" ht="27.75" hidden="false" customHeight="true" outlineLevel="0" collapsed="false">
      <c r="A3" s="17" t="s">
        <v>2</v>
      </c>
      <c r="B3" s="17" t="s">
        <v>85</v>
      </c>
      <c r="C3" s="17" t="s">
        <v>86</v>
      </c>
      <c r="D3" s="17" t="s">
        <v>87</v>
      </c>
      <c r="E3" s="17" t="s">
        <v>88</v>
      </c>
      <c r="F3" s="17" t="s">
        <v>89</v>
      </c>
      <c r="G3" s="17" t="s">
        <v>5</v>
      </c>
      <c r="H3" s="17" t="s">
        <v>90</v>
      </c>
      <c r="I3" s="17" t="s">
        <v>7</v>
      </c>
    </row>
    <row r="4" customFormat="false" ht="24" hidden="false" customHeight="true" outlineLevel="0" collapsed="false">
      <c r="A4" s="18" t="s">
        <v>91</v>
      </c>
      <c r="B4" s="18"/>
      <c r="C4" s="18"/>
      <c r="D4" s="18"/>
      <c r="E4" s="18"/>
      <c r="F4" s="18"/>
      <c r="G4" s="18"/>
      <c r="H4" s="18"/>
      <c r="I4" s="18"/>
    </row>
    <row r="5" customFormat="false" ht="21.75" hidden="false" customHeight="true" outlineLevel="0" collapsed="false">
      <c r="A5" s="19" t="s">
        <v>92</v>
      </c>
      <c r="B5" s="20" t="s">
        <v>93</v>
      </c>
      <c r="C5" s="20" t="s">
        <v>94</v>
      </c>
      <c r="D5" s="21" t="n">
        <v>46196</v>
      </c>
      <c r="E5" s="21" t="n">
        <v>46200</v>
      </c>
      <c r="F5" s="22" t="n">
        <f aca="false">E5-D5</f>
        <v>4</v>
      </c>
      <c r="G5" s="23" t="s">
        <v>11</v>
      </c>
      <c r="H5" s="24" t="n">
        <v>1</v>
      </c>
      <c r="I5" s="20" t="s">
        <v>95</v>
      </c>
    </row>
    <row r="6" customFormat="false" ht="21.75" hidden="false" customHeight="true" outlineLevel="0" collapsed="false">
      <c r="A6" s="25" t="s">
        <v>96</v>
      </c>
      <c r="B6" s="26" t="s">
        <v>97</v>
      </c>
      <c r="C6" s="26" t="s">
        <v>98</v>
      </c>
      <c r="D6" s="27" t="n">
        <v>46197</v>
      </c>
      <c r="E6" s="27" t="n">
        <v>46201</v>
      </c>
      <c r="F6" s="28" t="n">
        <f aca="false">E6-D6</f>
        <v>4</v>
      </c>
      <c r="G6" s="23" t="s">
        <v>11</v>
      </c>
      <c r="H6" s="29" t="n">
        <v>1</v>
      </c>
      <c r="I6" s="26" t="s">
        <v>99</v>
      </c>
    </row>
    <row r="7" customFormat="false" ht="21.75" hidden="false" customHeight="true" outlineLevel="0" collapsed="false">
      <c r="A7" s="19" t="s">
        <v>100</v>
      </c>
      <c r="B7" s="20" t="s">
        <v>101</v>
      </c>
      <c r="C7" s="20" t="s">
        <v>102</v>
      </c>
      <c r="D7" s="21" t="n">
        <v>46199</v>
      </c>
      <c r="E7" s="21" t="n">
        <v>46205</v>
      </c>
      <c r="F7" s="22" t="n">
        <f aca="false">E7-D7</f>
        <v>6</v>
      </c>
      <c r="G7" s="23" t="s">
        <v>11</v>
      </c>
      <c r="H7" s="24" t="n">
        <v>1</v>
      </c>
      <c r="I7" s="20" t="s">
        <v>103</v>
      </c>
    </row>
    <row r="8" customFormat="false" ht="21.75" hidden="false" customHeight="true" outlineLevel="0" collapsed="false">
      <c r="A8" s="25" t="s">
        <v>104</v>
      </c>
      <c r="B8" s="26" t="s">
        <v>105</v>
      </c>
      <c r="C8" s="26" t="s">
        <v>106</v>
      </c>
      <c r="D8" s="27" t="n">
        <v>46201</v>
      </c>
      <c r="E8" s="27" t="n">
        <v>46206</v>
      </c>
      <c r="F8" s="28" t="n">
        <f aca="false">E8-D8</f>
        <v>5</v>
      </c>
      <c r="G8" s="23" t="s">
        <v>11</v>
      </c>
      <c r="H8" s="29" t="n">
        <v>1</v>
      </c>
      <c r="I8" s="26" t="s">
        <v>107</v>
      </c>
    </row>
    <row r="9" customFormat="false" ht="21.75" hidden="false" customHeight="true" outlineLevel="0" collapsed="false">
      <c r="A9" s="19" t="s">
        <v>108</v>
      </c>
      <c r="B9" s="20" t="s">
        <v>109</v>
      </c>
      <c r="C9" s="20" t="s">
        <v>110</v>
      </c>
      <c r="D9" s="21" t="n">
        <v>46206</v>
      </c>
      <c r="E9" s="21" t="n">
        <v>46208</v>
      </c>
      <c r="F9" s="22" t="n">
        <f aca="false">E9-D9</f>
        <v>2</v>
      </c>
      <c r="G9" s="30" t="s">
        <v>111</v>
      </c>
      <c r="H9" s="24" t="n">
        <v>0.5</v>
      </c>
      <c r="I9" s="20" t="s">
        <v>112</v>
      </c>
    </row>
    <row r="10" customFormat="false" ht="24" hidden="false" customHeight="true" outlineLevel="0" collapsed="false">
      <c r="A10" s="18" t="s">
        <v>113</v>
      </c>
      <c r="B10" s="18"/>
      <c r="C10" s="18"/>
      <c r="D10" s="18"/>
      <c r="E10" s="18"/>
      <c r="F10" s="18"/>
      <c r="G10" s="18"/>
      <c r="H10" s="18"/>
      <c r="I10" s="18"/>
    </row>
    <row r="11" customFormat="false" ht="21.75" hidden="false" customHeight="true" outlineLevel="0" collapsed="false">
      <c r="A11" s="31" t="s">
        <v>114</v>
      </c>
      <c r="B11" s="32" t="s">
        <v>115</v>
      </c>
      <c r="C11" s="32" t="s">
        <v>106</v>
      </c>
      <c r="D11" s="33" t="n">
        <v>46209</v>
      </c>
      <c r="E11" s="33" t="n">
        <v>46213</v>
      </c>
      <c r="F11" s="34" t="n">
        <f aca="false">E11-D11</f>
        <v>4</v>
      </c>
      <c r="G11" s="23" t="s">
        <v>11</v>
      </c>
      <c r="H11" s="35" t="n">
        <v>1</v>
      </c>
      <c r="I11" s="32" t="s">
        <v>116</v>
      </c>
    </row>
    <row r="12" customFormat="false" ht="21.75" hidden="false" customHeight="true" outlineLevel="0" collapsed="false">
      <c r="A12" s="36" t="s">
        <v>117</v>
      </c>
      <c r="B12" s="37" t="s">
        <v>118</v>
      </c>
      <c r="C12" s="37" t="s">
        <v>106</v>
      </c>
      <c r="D12" s="38" t="n">
        <v>46212</v>
      </c>
      <c r="E12" s="38" t="n">
        <v>46218</v>
      </c>
      <c r="F12" s="39" t="n">
        <f aca="false">E12-D12</f>
        <v>6</v>
      </c>
      <c r="G12" s="23" t="s">
        <v>11</v>
      </c>
      <c r="H12" s="40" t="n">
        <v>1</v>
      </c>
      <c r="I12" s="37" t="s">
        <v>119</v>
      </c>
    </row>
    <row r="13" customFormat="false" ht="21.75" hidden="false" customHeight="true" outlineLevel="0" collapsed="false">
      <c r="A13" s="31" t="s">
        <v>120</v>
      </c>
      <c r="B13" s="32" t="s">
        <v>121</v>
      </c>
      <c r="C13" s="32" t="s">
        <v>122</v>
      </c>
      <c r="D13" s="33" t="n">
        <v>46216</v>
      </c>
      <c r="E13" s="33" t="n">
        <v>46226</v>
      </c>
      <c r="F13" s="34" t="n">
        <f aca="false">E13-D13</f>
        <v>10</v>
      </c>
      <c r="G13" s="23" t="s">
        <v>11</v>
      </c>
      <c r="H13" s="35" t="n">
        <v>1</v>
      </c>
      <c r="I13" s="32" t="s">
        <v>123</v>
      </c>
    </row>
    <row r="14" customFormat="false" ht="21.75" hidden="false" customHeight="true" outlineLevel="0" collapsed="false">
      <c r="A14" s="36" t="s">
        <v>124</v>
      </c>
      <c r="B14" s="37" t="s">
        <v>125</v>
      </c>
      <c r="C14" s="37" t="s">
        <v>106</v>
      </c>
      <c r="D14" s="38" t="n">
        <v>46218</v>
      </c>
      <c r="E14" s="38" t="n">
        <v>46231</v>
      </c>
      <c r="F14" s="39" t="n">
        <f aca="false">E14-D14</f>
        <v>13</v>
      </c>
      <c r="G14" s="23" t="s">
        <v>11</v>
      </c>
      <c r="H14" s="40" t="n">
        <v>1</v>
      </c>
      <c r="I14" s="37" t="s">
        <v>126</v>
      </c>
    </row>
    <row r="15" customFormat="false" ht="21.75" hidden="false" customHeight="true" outlineLevel="0" collapsed="false">
      <c r="A15" s="31" t="s">
        <v>127</v>
      </c>
      <c r="B15" s="32" t="s">
        <v>128</v>
      </c>
      <c r="C15" s="32" t="s">
        <v>106</v>
      </c>
      <c r="D15" s="33" t="n">
        <v>46224</v>
      </c>
      <c r="E15" s="33" t="n">
        <v>46230</v>
      </c>
      <c r="F15" s="34" t="n">
        <f aca="false">E15-D15</f>
        <v>6</v>
      </c>
      <c r="G15" s="23" t="s">
        <v>11</v>
      </c>
      <c r="H15" s="35" t="n">
        <v>1</v>
      </c>
      <c r="I15" s="32" t="s">
        <v>129</v>
      </c>
    </row>
    <row r="16" customFormat="false" ht="21.75" hidden="false" customHeight="true" outlineLevel="0" collapsed="false">
      <c r="A16" s="36" t="s">
        <v>130</v>
      </c>
      <c r="B16" s="37" t="s">
        <v>131</v>
      </c>
      <c r="C16" s="37" t="s">
        <v>106</v>
      </c>
      <c r="D16" s="38" t="n">
        <v>46226</v>
      </c>
      <c r="E16" s="38" t="n">
        <v>46236</v>
      </c>
      <c r="F16" s="39" t="n">
        <f aca="false">E16-D16</f>
        <v>10</v>
      </c>
      <c r="G16" s="23" t="s">
        <v>11</v>
      </c>
      <c r="H16" s="40" t="n">
        <v>1</v>
      </c>
      <c r="I16" s="37" t="s">
        <v>132</v>
      </c>
    </row>
    <row r="17" customFormat="false" ht="24" hidden="false" customHeight="true" outlineLevel="0" collapsed="false">
      <c r="A17" s="18" t="s">
        <v>133</v>
      </c>
      <c r="B17" s="18"/>
      <c r="C17" s="18"/>
      <c r="D17" s="18"/>
      <c r="E17" s="18"/>
      <c r="F17" s="18"/>
      <c r="G17" s="18"/>
      <c r="H17" s="18"/>
      <c r="I17" s="18"/>
    </row>
    <row r="18" customFormat="false" ht="21.75" hidden="false" customHeight="true" outlineLevel="0" collapsed="false">
      <c r="A18" s="41" t="s">
        <v>134</v>
      </c>
      <c r="B18" s="42" t="s">
        <v>135</v>
      </c>
      <c r="C18" s="42" t="s">
        <v>106</v>
      </c>
      <c r="D18" s="43" t="n">
        <v>46237</v>
      </c>
      <c r="E18" s="43" t="n">
        <v>46241</v>
      </c>
      <c r="F18" s="44" t="n">
        <f aca="false">E18-D18</f>
        <v>4</v>
      </c>
      <c r="G18" s="23" t="s">
        <v>11</v>
      </c>
      <c r="H18" s="45" t="n">
        <v>1</v>
      </c>
      <c r="I18" s="42" t="s">
        <v>136</v>
      </c>
    </row>
    <row r="19" customFormat="false" ht="21.75" hidden="false" customHeight="true" outlineLevel="0" collapsed="false">
      <c r="A19" s="46" t="s">
        <v>137</v>
      </c>
      <c r="B19" s="47" t="s">
        <v>138</v>
      </c>
      <c r="C19" s="47" t="s">
        <v>122</v>
      </c>
      <c r="D19" s="48" t="n">
        <v>46241</v>
      </c>
      <c r="E19" s="48" t="n">
        <v>46245</v>
      </c>
      <c r="F19" s="49" t="n">
        <f aca="false">E19-D19</f>
        <v>4</v>
      </c>
      <c r="G19" s="23" t="s">
        <v>11</v>
      </c>
      <c r="H19" s="50" t="n">
        <v>1</v>
      </c>
      <c r="I19" s="47" t="s">
        <v>139</v>
      </c>
    </row>
    <row r="20" customFormat="false" ht="21.75" hidden="false" customHeight="true" outlineLevel="0" collapsed="false">
      <c r="A20" s="41" t="s">
        <v>140</v>
      </c>
      <c r="B20" s="42" t="s">
        <v>141</v>
      </c>
      <c r="C20" s="42" t="s">
        <v>98</v>
      </c>
      <c r="D20" s="43" t="n">
        <v>46245</v>
      </c>
      <c r="E20" s="43" t="n">
        <v>46254</v>
      </c>
      <c r="F20" s="44" t="n">
        <f aca="false">E20-D20</f>
        <v>9</v>
      </c>
      <c r="G20" s="30" t="s">
        <v>111</v>
      </c>
      <c r="H20" s="45" t="n">
        <v>0.3</v>
      </c>
      <c r="I20" s="42" t="s">
        <v>142</v>
      </c>
    </row>
    <row r="21" customFormat="false" ht="21.75" hidden="false" customHeight="true" outlineLevel="0" collapsed="false">
      <c r="A21" s="46" t="s">
        <v>143</v>
      </c>
      <c r="B21" s="47" t="s">
        <v>144</v>
      </c>
      <c r="C21" s="47" t="s">
        <v>106</v>
      </c>
      <c r="D21" s="48" t="n">
        <v>46253</v>
      </c>
      <c r="E21" s="48" t="n">
        <v>46257</v>
      </c>
      <c r="F21" s="49" t="n">
        <f aca="false">E21-D21</f>
        <v>4</v>
      </c>
      <c r="G21" s="30" t="s">
        <v>111</v>
      </c>
      <c r="H21" s="50" t="n">
        <v>0.3</v>
      </c>
      <c r="I21" s="47" t="s">
        <v>145</v>
      </c>
    </row>
    <row r="22" customFormat="false" ht="21.75" hidden="false" customHeight="true" outlineLevel="0" collapsed="false">
      <c r="A22" s="41" t="s">
        <v>146</v>
      </c>
      <c r="B22" s="42" t="s">
        <v>147</v>
      </c>
      <c r="C22" s="42" t="s">
        <v>148</v>
      </c>
      <c r="D22" s="43" t="n">
        <v>46256</v>
      </c>
      <c r="E22" s="43" t="n">
        <v>46259</v>
      </c>
      <c r="F22" s="44" t="n">
        <f aca="false">E22-D22</f>
        <v>3</v>
      </c>
      <c r="G22" s="23" t="s">
        <v>11</v>
      </c>
      <c r="H22" s="45" t="n">
        <v>1</v>
      </c>
      <c r="I22" s="42" t="s">
        <v>149</v>
      </c>
    </row>
    <row r="23" customFormat="false" ht="21.75" hidden="false" customHeight="true" outlineLevel="0" collapsed="false">
      <c r="A23" s="46" t="s">
        <v>150</v>
      </c>
      <c r="B23" s="47" t="s">
        <v>151</v>
      </c>
      <c r="C23" s="47" t="s">
        <v>94</v>
      </c>
      <c r="D23" s="48" t="n">
        <v>46259</v>
      </c>
      <c r="E23" s="48" t="n">
        <v>46261</v>
      </c>
      <c r="F23" s="49" t="n">
        <f aca="false">E23-D23</f>
        <v>2</v>
      </c>
      <c r="G23" s="30" t="s">
        <v>111</v>
      </c>
      <c r="H23" s="50" t="n">
        <v>0.2</v>
      </c>
      <c r="I23" s="47" t="s">
        <v>152</v>
      </c>
    </row>
    <row r="24" customFormat="false" ht="25.5" hidden="false" customHeight="true" outlineLevel="0" collapsed="false">
      <c r="A24" s="51" t="s">
        <v>153</v>
      </c>
      <c r="B24" s="51"/>
      <c r="C24" s="52"/>
      <c r="D24" s="52"/>
      <c r="E24" s="52"/>
      <c r="F24" s="52"/>
      <c r="G24" s="52"/>
      <c r="H24" s="53" t="n">
        <f aca="false">AVERAGE(H5:H23)</f>
        <v>0.841176470588235</v>
      </c>
      <c r="I24" s="52"/>
    </row>
    <row r="26" customFormat="false" ht="90.75" hidden="false" customHeight="true" outlineLevel="0" collapsed="false">
      <c r="A26" s="54" t="s">
        <v>154</v>
      </c>
      <c r="B26" s="23" t="s">
        <v>11</v>
      </c>
      <c r="C26" s="30" t="s">
        <v>111</v>
      </c>
      <c r="D26" s="55" t="s">
        <v>155</v>
      </c>
      <c r="E26" s="56" t="s">
        <v>156</v>
      </c>
    </row>
  </sheetData>
  <mergeCells count="6">
    <mergeCell ref="A1:I1"/>
    <mergeCell ref="A2:I2"/>
    <mergeCell ref="A4:I4"/>
    <mergeCell ref="A10:I10"/>
    <mergeCell ref="A17:I17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2026-06-19T13:12:19Z</dcterms:created>
  <dc:creator>openpyxl</dc:creator>
  <dc:description/>
  <dc:language>en-US</dc:language>
  <cp:lastModifiedBy/>
  <dcterms:modified xsi:type="dcterms:W3CDTF">2026-06-22T18:18:32Z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