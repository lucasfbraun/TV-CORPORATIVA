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hecklist de Melhorias" sheetId="1" state="visible" r:id="rId1"/>
    <sheet xmlns:r="http://schemas.openxmlformats.org/officeDocument/2006/relationships" name="Cronograma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0C3B38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2D3A4A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</fonts>
  <fills count="22">
    <fill>
      <patternFill/>
    </fill>
    <fill>
      <patternFill patternType="gray125"/>
    </fill>
    <fill>
      <patternFill patternType="solid">
        <fgColor rgb="FF0C3B38"/>
        <bgColor rgb="FF1F3864"/>
      </patternFill>
    </fill>
    <fill>
      <patternFill patternType="solid">
        <fgColor rgb="FF0F7C70"/>
        <bgColor rgb="FF008080"/>
      </patternFill>
    </fill>
    <fill>
      <patternFill patternType="solid">
        <fgColor rgb="FFEEF3F1"/>
        <bgColor rgb="FFEEF2F7"/>
      </patternFill>
    </fill>
    <fill>
      <patternFill patternType="solid">
        <fgColor rgb="FF14534D"/>
        <bgColor rgb="FF0C3B38"/>
      </patternFill>
    </fill>
    <fill>
      <patternFill patternType="solid">
        <fgColor rgb="FFFFFFFF"/>
        <bgColor rgb="FFFFFAE5"/>
      </patternFill>
    </fill>
    <fill>
      <patternFill patternType="solid">
        <fgColor rgb="FF2E7D32"/>
        <bgColor rgb="FF0F7C70"/>
      </patternFill>
    </fill>
    <fill>
      <patternFill patternType="solid">
        <fgColor rgb="FFEF8C00"/>
        <bgColor rgb="FFFF6600"/>
      </patternFill>
    </fill>
    <fill>
      <patternFill patternType="solid">
        <fgColor rgb="FF1F3864"/>
        <bgColor rgb="FF2D3A4A"/>
      </patternFill>
    </fill>
    <fill>
      <patternFill patternType="solid">
        <fgColor rgb="FFEEF2F7"/>
        <bgColor rgb="FFEEF3F1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D5DFDC"/>
      </patternFill>
    </fill>
    <fill>
      <patternFill patternType="solid">
        <fgColor rgb="FF6AAF3D"/>
        <bgColor rgb="FF808000"/>
      </patternFill>
    </fill>
    <fill>
      <patternFill patternType="solid">
        <fgColor rgb="FFEAF3FB"/>
        <bgColor rgb="FFEEF2F7"/>
      </patternFill>
    </fill>
    <fill>
      <patternFill patternType="solid">
        <fgColor rgb="FFF4B942"/>
        <bgColor rgb="FFEF8C00"/>
      </patternFill>
    </fill>
    <fill>
      <patternFill patternType="solid">
        <fgColor rgb="FFD9EAD3"/>
        <bgColor rgb="FFD5DFDC"/>
      </patternFill>
    </fill>
    <fill>
      <patternFill patternType="solid">
        <fgColor rgb="FFEAF5E5"/>
        <bgColor rgb="FFEEF3F1"/>
      </patternFill>
    </fill>
    <fill>
      <patternFill patternType="solid">
        <fgColor rgb="FFFFF2CC"/>
        <bgColor rgb="FFFFFAE5"/>
      </patternFill>
    </fill>
    <fill>
      <patternFill patternType="solid">
        <fgColor rgb="FFFFFAE5"/>
        <bgColor rgb="FFFFFFFF"/>
      </patternFill>
    </fill>
    <fill>
      <patternFill patternType="solid">
        <fgColor rgb="FFC0C0C0"/>
        <bgColor rgb="FFB0B0B0"/>
      </patternFill>
    </fill>
    <fill>
      <patternFill patternType="solid">
        <fgColor rgb="FFE06C75"/>
        <bgColor rgb="FFFF6600"/>
      </patternFill>
    </fill>
  </fills>
  <borders count="12">
    <border>
      <left/>
      <right/>
      <top/>
      <bottom/>
      <diagonal/>
    </border>
    <border>
      <left style="thin">
        <color rgb="FFD5DFDC"/>
      </left>
      <right/>
      <top style="thin">
        <color rgb="FFD5DFDC"/>
      </top>
      <bottom style="thin">
        <color rgb="FFD5DFDC"/>
      </bottom>
      <diagonal/>
    </border>
    <border>
      <left style="thin">
        <color rgb="FFD5DFDC"/>
      </left>
      <right style="thin">
        <color rgb="FFD5DFDC"/>
      </right>
      <top style="thin">
        <color rgb="FFD5DFDC"/>
      </top>
      <bottom style="thin">
        <color rgb="FFD5DFDC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 style="thin">
        <color rgb="FFD5DFDC"/>
      </top>
      <bottom/>
      <diagonal/>
    </border>
    <border>
      <left/>
      <right/>
      <top style="thin">
        <color rgb="FFD5DFDC"/>
      </top>
      <bottom style="thin">
        <color rgb="FFD5DFDC"/>
      </bottom>
      <diagonal/>
    </border>
    <border>
      <left/>
      <right/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4" fillId="9" borderId="3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1" borderId="5" applyAlignment="1" pivotButton="0" quotePrefix="0" xfId="0">
      <alignment horizontal="left" vertical="center" wrapText="1"/>
    </xf>
    <xf numFmtId="0" fontId="11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left" vertical="center" wrapText="1"/>
    </xf>
    <xf numFmtId="164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3" fillId="13" borderId="4" applyAlignment="1" pivotButton="0" quotePrefix="0" xfId="0">
      <alignment horizontal="center" vertical="center" wrapText="1"/>
    </xf>
    <xf numFmtId="9" fontId="12" fillId="12" borderId="4" applyAlignment="1" pivotButton="0" quotePrefix="0" xfId="0">
      <alignment horizontal="center" vertical="center" wrapText="1"/>
    </xf>
    <xf numFmtId="0" fontId="11" fillId="14" borderId="4" applyAlignment="1" pivotButton="0" quotePrefix="0" xfId="0">
      <alignment horizontal="center" vertical="center" wrapText="1"/>
    </xf>
    <xf numFmtId="0" fontId="12" fillId="14" borderId="4" applyAlignment="1" pivotButton="0" quotePrefix="0" xfId="0">
      <alignment horizontal="left" vertical="center" wrapText="1"/>
    </xf>
    <xf numFmtId="164" fontId="12" fillId="14" borderId="4" applyAlignment="1" pivotButton="0" quotePrefix="0" xfId="0">
      <alignment horizontal="center" vertical="center" wrapText="1"/>
    </xf>
    <xf numFmtId="0" fontId="12" fillId="14" borderId="4" applyAlignment="1" pivotButton="0" quotePrefix="0" xfId="0">
      <alignment horizontal="center" vertical="center" wrapText="1"/>
    </xf>
    <xf numFmtId="9" fontId="12" fillId="14" borderId="4" applyAlignment="1" pivotButton="0" quotePrefix="0" xfId="0">
      <alignment horizontal="center" vertical="center" wrapText="1"/>
    </xf>
    <xf numFmtId="0" fontId="13" fillId="15" borderId="4" applyAlignment="1" pivotButton="0" quotePrefix="0" xfId="0">
      <alignment horizontal="center" vertical="center" wrapText="1"/>
    </xf>
    <xf numFmtId="0" fontId="11" fillId="16" borderId="4" applyAlignment="1" pivotButton="0" quotePrefix="0" xfId="0">
      <alignment horizontal="center" vertical="center" wrapText="1"/>
    </xf>
    <xf numFmtId="0" fontId="12" fillId="16" borderId="4" applyAlignment="1" pivotButton="0" quotePrefix="0" xfId="0">
      <alignment horizontal="left" vertical="center" wrapText="1"/>
    </xf>
    <xf numFmtId="164" fontId="12" fillId="16" borderId="4" applyAlignment="1" pivotButton="0" quotePrefix="0" xfId="0">
      <alignment horizontal="center" vertical="center" wrapText="1"/>
    </xf>
    <xf numFmtId="0" fontId="12" fillId="16" borderId="4" applyAlignment="1" pivotButton="0" quotePrefix="0" xfId="0">
      <alignment horizontal="center" vertical="center" wrapText="1"/>
    </xf>
    <xf numFmtId="9" fontId="12" fillId="16" borderId="4" applyAlignment="1" pivotButton="0" quotePrefix="0" xfId="0">
      <alignment horizontal="center" vertical="center" wrapText="1"/>
    </xf>
    <xf numFmtId="0" fontId="11" fillId="17" borderId="4" applyAlignment="1" pivotButton="0" quotePrefix="0" xfId="0">
      <alignment horizontal="center" vertical="center" wrapText="1"/>
    </xf>
    <xf numFmtId="0" fontId="12" fillId="17" borderId="4" applyAlignment="1" pivotButton="0" quotePrefix="0" xfId="0">
      <alignment horizontal="left" vertical="center" wrapText="1"/>
    </xf>
    <xf numFmtId="164" fontId="12" fillId="17" borderId="4" applyAlignment="1" pivotButton="0" quotePrefix="0" xfId="0">
      <alignment horizontal="center" vertical="center" wrapText="1"/>
    </xf>
    <xf numFmtId="0" fontId="12" fillId="17" borderId="4" applyAlignment="1" pivotButton="0" quotePrefix="0" xfId="0">
      <alignment horizontal="center" vertical="center" wrapText="1"/>
    </xf>
    <xf numFmtId="9" fontId="12" fillId="17" borderId="4" applyAlignment="1" pivotButton="0" quotePrefix="0" xfId="0">
      <alignment horizontal="center" vertical="center" wrapText="1"/>
    </xf>
    <xf numFmtId="0" fontId="11" fillId="18" borderId="4" applyAlignment="1" pivotButton="0" quotePrefix="0" xfId="0">
      <alignment horizontal="center" vertical="center" wrapText="1"/>
    </xf>
    <xf numFmtId="0" fontId="12" fillId="18" borderId="4" applyAlignment="1" pivotButton="0" quotePrefix="0" xfId="0">
      <alignment horizontal="left" vertical="center" wrapText="1"/>
    </xf>
    <xf numFmtId="164" fontId="12" fillId="18" borderId="4" applyAlignment="1" pivotButton="0" quotePrefix="0" xfId="0">
      <alignment horizontal="center" vertical="center" wrapText="1"/>
    </xf>
    <xf numFmtId="0" fontId="12" fillId="18" borderId="4" applyAlignment="1" pivotButton="0" quotePrefix="0" xfId="0">
      <alignment horizontal="center" vertical="center" wrapText="1"/>
    </xf>
    <xf numFmtId="9" fontId="12" fillId="18" borderId="4" applyAlignment="1" pivotButton="0" quotePrefix="0" xfId="0">
      <alignment horizontal="center" vertical="center" wrapText="1"/>
    </xf>
    <xf numFmtId="0" fontId="11" fillId="19" borderId="4" applyAlignment="1" pivotButton="0" quotePrefix="0" xfId="0">
      <alignment horizontal="center" vertical="center" wrapText="1"/>
    </xf>
    <xf numFmtId="0" fontId="12" fillId="19" borderId="4" applyAlignment="1" pivotButton="0" quotePrefix="0" xfId="0">
      <alignment horizontal="left" vertical="center" wrapText="1"/>
    </xf>
    <xf numFmtId="164" fontId="12" fillId="19" borderId="4" applyAlignment="1" pivotButton="0" quotePrefix="0" xfId="0">
      <alignment horizontal="center" vertical="center" wrapText="1"/>
    </xf>
    <xf numFmtId="0" fontId="12" fillId="19" borderId="4" applyAlignment="1" pivotButton="0" quotePrefix="0" xfId="0">
      <alignment horizontal="center" vertical="center" wrapText="1"/>
    </xf>
    <xf numFmtId="9" fontId="12" fillId="19" borderId="4" applyAlignment="1" pivotButton="0" quotePrefix="0" xfId="0">
      <alignment horizontal="center" vertical="center" wrapText="1"/>
    </xf>
    <xf numFmtId="0" fontId="7" fillId="9" borderId="5" applyAlignment="1" pivotButton="0" quotePrefix="0" xfId="0">
      <alignment horizontal="center" vertical="center" wrapText="1"/>
    </xf>
    <xf numFmtId="0" fontId="0" fillId="9" borderId="4" applyAlignment="1" pivotButton="0" quotePrefix="0" xfId="0">
      <alignment horizontal="general" vertical="bottom"/>
    </xf>
    <xf numFmtId="9" fontId="8" fillId="11" borderId="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20" borderId="4" applyAlignment="1" pivotButton="0" quotePrefix="0" xfId="0">
      <alignment horizontal="center" vertical="center" wrapText="1"/>
    </xf>
    <xf numFmtId="0" fontId="13" fillId="21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/>
    </xf>
    <xf numFmtId="0" fontId="4" fillId="9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10" fillId="10" borderId="0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1" borderId="5" applyAlignment="1" pivotButton="0" quotePrefix="0" xfId="0">
      <alignment horizontal="left" vertical="center" wrapText="1"/>
    </xf>
    <xf numFmtId="0" fontId="0" fillId="0" borderId="11" pivotButton="0" quotePrefix="0" xfId="0"/>
    <xf numFmtId="0" fontId="11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left" vertical="center" wrapText="1"/>
    </xf>
    <xf numFmtId="164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3" fillId="13" borderId="4" applyAlignment="1" pivotButton="0" quotePrefix="0" xfId="0">
      <alignment horizontal="center" vertical="center" wrapText="1"/>
    </xf>
    <xf numFmtId="9" fontId="12" fillId="12" borderId="4" applyAlignment="1" pivotButton="0" quotePrefix="0" xfId="0">
      <alignment horizontal="center" vertical="center" wrapText="1"/>
    </xf>
    <xf numFmtId="0" fontId="11" fillId="14" borderId="4" applyAlignment="1" pivotButton="0" quotePrefix="0" xfId="0">
      <alignment horizontal="center" vertical="center" wrapText="1"/>
    </xf>
    <xf numFmtId="0" fontId="12" fillId="14" borderId="4" applyAlignment="1" pivotButton="0" quotePrefix="0" xfId="0">
      <alignment horizontal="left" vertical="center" wrapText="1"/>
    </xf>
    <xf numFmtId="164" fontId="12" fillId="14" borderId="4" applyAlignment="1" pivotButton="0" quotePrefix="0" xfId="0">
      <alignment horizontal="center" vertical="center" wrapText="1"/>
    </xf>
    <xf numFmtId="0" fontId="12" fillId="14" borderId="4" applyAlignment="1" pivotButton="0" quotePrefix="0" xfId="0">
      <alignment horizontal="center" vertical="center" wrapText="1"/>
    </xf>
    <xf numFmtId="9" fontId="12" fillId="14" borderId="4" applyAlignment="1" pivotButton="0" quotePrefix="0" xfId="0">
      <alignment horizontal="center" vertical="center" wrapText="1"/>
    </xf>
    <xf numFmtId="0" fontId="13" fillId="15" borderId="4" applyAlignment="1" pivotButton="0" quotePrefix="0" xfId="0">
      <alignment horizontal="center" vertical="center" wrapText="1"/>
    </xf>
    <xf numFmtId="0" fontId="11" fillId="16" borderId="4" applyAlignment="1" pivotButton="0" quotePrefix="0" xfId="0">
      <alignment horizontal="center" vertical="center" wrapText="1"/>
    </xf>
    <xf numFmtId="0" fontId="12" fillId="16" borderId="4" applyAlignment="1" pivotButton="0" quotePrefix="0" xfId="0">
      <alignment horizontal="left" vertical="center" wrapText="1"/>
    </xf>
    <xf numFmtId="164" fontId="12" fillId="16" borderId="4" applyAlignment="1" pivotButton="0" quotePrefix="0" xfId="0">
      <alignment horizontal="center" vertical="center" wrapText="1"/>
    </xf>
    <xf numFmtId="0" fontId="12" fillId="16" borderId="4" applyAlignment="1" pivotButton="0" quotePrefix="0" xfId="0">
      <alignment horizontal="center" vertical="center" wrapText="1"/>
    </xf>
    <xf numFmtId="9" fontId="12" fillId="16" borderId="4" applyAlignment="1" pivotButton="0" quotePrefix="0" xfId="0">
      <alignment horizontal="center" vertical="center" wrapText="1"/>
    </xf>
    <xf numFmtId="0" fontId="11" fillId="17" borderId="4" applyAlignment="1" pivotButton="0" quotePrefix="0" xfId="0">
      <alignment horizontal="center" vertical="center" wrapText="1"/>
    </xf>
    <xf numFmtId="0" fontId="12" fillId="17" borderId="4" applyAlignment="1" pivotButton="0" quotePrefix="0" xfId="0">
      <alignment horizontal="left" vertical="center" wrapText="1"/>
    </xf>
    <xf numFmtId="164" fontId="12" fillId="17" borderId="4" applyAlignment="1" pivotButton="0" quotePrefix="0" xfId="0">
      <alignment horizontal="center" vertical="center" wrapText="1"/>
    </xf>
    <xf numFmtId="0" fontId="12" fillId="17" borderId="4" applyAlignment="1" pivotButton="0" quotePrefix="0" xfId="0">
      <alignment horizontal="center" vertical="center" wrapText="1"/>
    </xf>
    <xf numFmtId="9" fontId="12" fillId="17" borderId="4" applyAlignment="1" pivotButton="0" quotePrefix="0" xfId="0">
      <alignment horizontal="center" vertical="center" wrapText="1"/>
    </xf>
    <xf numFmtId="0" fontId="11" fillId="18" borderId="4" applyAlignment="1" pivotButton="0" quotePrefix="0" xfId="0">
      <alignment horizontal="center" vertical="center" wrapText="1"/>
    </xf>
    <xf numFmtId="0" fontId="12" fillId="18" borderId="4" applyAlignment="1" pivotButton="0" quotePrefix="0" xfId="0">
      <alignment horizontal="left" vertical="center" wrapText="1"/>
    </xf>
    <xf numFmtId="164" fontId="12" fillId="18" borderId="4" applyAlignment="1" pivotButton="0" quotePrefix="0" xfId="0">
      <alignment horizontal="center" vertical="center" wrapText="1"/>
    </xf>
    <xf numFmtId="0" fontId="12" fillId="18" borderId="4" applyAlignment="1" pivotButton="0" quotePrefix="0" xfId="0">
      <alignment horizontal="center" vertical="center" wrapText="1"/>
    </xf>
    <xf numFmtId="9" fontId="12" fillId="18" borderId="4" applyAlignment="1" pivotButton="0" quotePrefix="0" xfId="0">
      <alignment horizontal="center" vertical="center" wrapText="1"/>
    </xf>
    <xf numFmtId="0" fontId="11" fillId="19" borderId="4" applyAlignment="1" pivotButton="0" quotePrefix="0" xfId="0">
      <alignment horizontal="center" vertical="center" wrapText="1"/>
    </xf>
    <xf numFmtId="0" fontId="12" fillId="19" borderId="4" applyAlignment="1" pivotButton="0" quotePrefix="0" xfId="0">
      <alignment horizontal="left" vertical="center" wrapText="1"/>
    </xf>
    <xf numFmtId="164" fontId="12" fillId="19" borderId="4" applyAlignment="1" pivotButton="0" quotePrefix="0" xfId="0">
      <alignment horizontal="center" vertical="center" wrapText="1"/>
    </xf>
    <xf numFmtId="0" fontId="12" fillId="19" borderId="4" applyAlignment="1" pivotButton="0" quotePrefix="0" xfId="0">
      <alignment horizontal="center" vertical="center" wrapText="1"/>
    </xf>
    <xf numFmtId="9" fontId="12" fillId="19" borderId="4" applyAlignment="1" pivotButton="0" quotePrefix="0" xfId="0">
      <alignment horizontal="center" vertical="center" wrapText="1"/>
    </xf>
    <xf numFmtId="0" fontId="7" fillId="9" borderId="5" applyAlignment="1" pivotButton="0" quotePrefix="0" xfId="0">
      <alignment horizontal="center" vertical="center" wrapText="1"/>
    </xf>
    <xf numFmtId="0" fontId="0" fillId="9" borderId="4" applyAlignment="1" pivotButton="0" quotePrefix="0" xfId="0">
      <alignment horizontal="general" vertical="bottom"/>
    </xf>
    <xf numFmtId="9" fontId="8" fillId="11" borderId="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20" borderId="4" applyAlignment="1" pivotButton="0" quotePrefix="0" xfId="0">
      <alignment horizontal="center" vertical="center" wrapText="1"/>
    </xf>
    <xf numFmtId="0" fontId="13" fillId="21" borderId="4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C70"/>
      <rgbColor rgb="FFC0C0C0"/>
      <rgbColor rgb="FF808080"/>
      <rgbColor rgb="FF9999FF"/>
      <rgbColor rgb="FF993366"/>
      <rgbColor rgb="FFFFFAE5"/>
      <rgbColor rgb="FFEAF3FB"/>
      <rgbColor rgb="FF660066"/>
      <rgbColor rgb="FFE06C75"/>
      <rgbColor rgb="FF0066CC"/>
      <rgbColor rgb="FFD5DF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5E5"/>
      <rgbColor rgb="FFD9EAD3"/>
      <rgbColor rgb="FFFFF2CC"/>
      <rgbColor rgb="FFD6E4F0"/>
      <rgbColor rgb="FFEEF2F7"/>
      <rgbColor rgb="FFCC99FF"/>
      <rgbColor rgb="FFEEF3F1"/>
      <rgbColor rgb="FF2E75B6"/>
      <rgbColor rgb="FF33CCCC"/>
      <rgbColor rgb="FF6AAF3D"/>
      <rgbColor rgb="FFF4B942"/>
      <rgbColor rgb="FFEF8C00"/>
      <rgbColor rgb="FFFF6600"/>
      <rgbColor rgb="FF555555"/>
      <rgbColor rgb="FFB0B0B0"/>
      <rgbColor rgb="FF1F3864"/>
      <rgbColor rgb="FF2E7D32"/>
      <rgbColor rgb="FF0C3B38"/>
      <rgbColor rgb="FF333300"/>
      <rgbColor rgb="FF993300"/>
      <rgbColor rgb="FF993366"/>
      <rgbColor rgb="FF14534D"/>
      <rgbColor rgb="FF2D3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6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57" min="1" max="1"/>
    <col width="30" customWidth="1" style="57" min="2" max="2"/>
    <col width="60" customWidth="1" style="57" min="3" max="3"/>
    <col width="14" customWidth="1" style="57" min="4" max="4"/>
    <col width="12" customWidth="1" style="57" min="5" max="5"/>
    <col width="40" customWidth="1" style="57" min="6" max="6"/>
  </cols>
  <sheetData>
    <row r="1" ht="25.5" customHeight="1" s="58">
      <c r="A1" s="59" t="inlineStr">
        <is>
          <t>CHECKLIST DE MELHORIAS – TV CORPORATIVA | GRUPO FLEXÍVEL</t>
        </is>
      </c>
      <c r="B1" s="60" t="n"/>
      <c r="C1" s="60" t="n"/>
      <c r="D1" s="60" t="n"/>
      <c r="E1" s="60" t="n"/>
      <c r="F1" s="60" t="n"/>
    </row>
    <row r="2" ht="18" customHeight="1" s="58">
      <c r="A2" s="61" t="inlineStr">
        <is>
          <t>Atualizado em 24/06/2026  •  Andamento das entregas do sistema</t>
        </is>
      </c>
      <c r="B2" s="60" t="n"/>
      <c r="C2" s="60" t="n"/>
      <c r="D2" s="60" t="n"/>
      <c r="E2" s="60" t="n"/>
      <c r="F2" s="60" t="n"/>
    </row>
    <row r="3" ht="19.5" customHeight="1" s="58">
      <c r="A3" s="62" t="inlineStr">
        <is>
          <t>Concluídos: 47   |   Pendentes: 7   |   % concluído: 87%</t>
        </is>
      </c>
      <c r="B3" s="60" t="n"/>
      <c r="C3" s="60" t="n"/>
      <c r="D3" s="60" t="n"/>
      <c r="E3" s="60" t="n"/>
      <c r="F3" s="60" t="n"/>
    </row>
    <row r="4" ht="19.5" customHeight="1" s="58">
      <c r="A4" s="63" t="inlineStr">
        <is>
          <t>Nº</t>
        </is>
      </c>
      <c r="B4" s="63" t="inlineStr">
        <is>
          <t>Categoria</t>
        </is>
      </c>
      <c r="C4" s="63" t="inlineStr">
        <is>
          <t>Melhoria / Entregável</t>
        </is>
      </c>
      <c r="D4" s="63" t="inlineStr">
        <is>
          <t>Status</t>
        </is>
      </c>
      <c r="E4" s="63" t="inlineStr">
        <is>
          <t>Data</t>
        </is>
      </c>
      <c r="F4" s="63" t="inlineStr">
        <is>
          <t>Observações</t>
        </is>
      </c>
    </row>
    <row r="5" ht="18" customHeight="1" s="58">
      <c r="A5" s="64" t="inlineStr">
        <is>
          <t>CORREÇÕES CRÍTICAS (BACKEND)</t>
        </is>
      </c>
      <c r="B5" s="60" t="n"/>
      <c r="C5" s="60" t="n"/>
      <c r="D5" s="60" t="n"/>
      <c r="E5" s="60" t="n"/>
      <c r="F5" s="60" t="n"/>
    </row>
    <row r="6" ht="25.5" customHeight="1" s="58">
      <c r="A6" s="65" t="n">
        <v>1</v>
      </c>
      <c r="B6" s="66" t="inlineStr">
        <is>
          <t>Backend</t>
        </is>
      </c>
      <c r="C6" s="67" t="inlineStr">
        <is>
          <t>Servidor central reescrito e corrigido (estava truncado, não rodava)</t>
        </is>
      </c>
      <c r="D6" s="68" t="inlineStr">
        <is>
          <t>Concluído</t>
        </is>
      </c>
      <c r="E6" s="65" t="inlineStr">
        <is>
          <t>19/06/2026</t>
        </is>
      </c>
      <c r="F6" s="67" t="n"/>
    </row>
    <row r="7" ht="25.5" customHeight="1" s="58">
      <c r="A7" s="69" t="n">
        <v>2</v>
      </c>
      <c r="B7" s="70" t="inlineStr">
        <is>
          <t>Backend</t>
        </is>
      </c>
      <c r="C7" s="71" t="inlineStr">
        <is>
          <t>Modelo de dados unificado (config / tvs / grades / barras)</t>
        </is>
      </c>
      <c r="D7" s="68" t="inlineStr">
        <is>
          <t>Concluído</t>
        </is>
      </c>
      <c r="E7" s="69" t="inlineStr">
        <is>
          <t>19/06/2026</t>
        </is>
      </c>
      <c r="F7" s="71" t="n"/>
    </row>
    <row r="8" ht="25.5" customHeight="1" s="58">
      <c r="A8" s="65" t="n">
        <v>3</v>
      </c>
      <c r="B8" s="66" t="inlineStr">
        <is>
          <t>Backend</t>
        </is>
      </c>
      <c r="C8" s="67" t="inlineStr">
        <is>
          <t>Admin e TVs sincronizando pelo servidor central</t>
        </is>
      </c>
      <c r="D8" s="68" t="inlineStr">
        <is>
          <t>Concluído</t>
        </is>
      </c>
      <c r="E8" s="65" t="inlineStr">
        <is>
          <t>19/06/2026</t>
        </is>
      </c>
      <c r="F8" s="67" t="n"/>
    </row>
    <row r="9" ht="25.5" customHeight="1" s="58">
      <c r="A9" s="69" t="n">
        <v>4</v>
      </c>
      <c r="B9" s="70" t="inlineStr">
        <is>
          <t>Backend</t>
        </is>
      </c>
      <c r="C9" s="71" t="inlineStr">
        <is>
          <t>Gravação atômica do conteúdo + servidor de produção (waitress)</t>
        </is>
      </c>
      <c r="D9" s="68" t="inlineStr">
        <is>
          <t>Concluído</t>
        </is>
      </c>
      <c r="E9" s="69" t="inlineStr">
        <is>
          <t>19/06/2026</t>
        </is>
      </c>
      <c r="F9" s="71" t="n"/>
    </row>
    <row r="10" ht="25.5" customHeight="1" s="58">
      <c r="A10" s="65" t="n">
        <v>5</v>
      </c>
      <c r="B10" s="66" t="inlineStr">
        <is>
          <t>Backend</t>
        </is>
      </c>
      <c r="C10" s="67" t="inlineStr">
        <is>
          <t>URLs amigáveis das TVs (/tela/&lt;slug&gt;)</t>
        </is>
      </c>
      <c r="D10" s="68" t="inlineStr">
        <is>
          <t>Concluído</t>
        </is>
      </c>
      <c r="E10" s="65" t="inlineStr">
        <is>
          <t>19/06/2026</t>
        </is>
      </c>
      <c r="F10" s="67" t="n"/>
    </row>
    <row r="11" ht="18" customHeight="1" s="58">
      <c r="A11" s="64" t="inlineStr">
        <is>
          <t>SEGURANÇA E ACESSO</t>
        </is>
      </c>
      <c r="B11" s="60" t="n"/>
      <c r="C11" s="60" t="n"/>
      <c r="D11" s="60" t="n"/>
      <c r="E11" s="60" t="n"/>
      <c r="F11" s="60" t="n"/>
    </row>
    <row r="12" ht="25.5" customHeight="1" s="58">
      <c r="A12" s="65" t="n">
        <v>6</v>
      </c>
      <c r="B12" s="66" t="inlineStr">
        <is>
          <t>Segurança</t>
        </is>
      </c>
      <c r="C12" s="67" t="inlineStr">
        <is>
          <t>Login com usuário e senha (hash + sessão)</t>
        </is>
      </c>
      <c r="D12" s="68" t="inlineStr">
        <is>
          <t>Concluído</t>
        </is>
      </c>
      <c r="E12" s="65" t="inlineStr">
        <is>
          <t>19/06/2026</t>
        </is>
      </c>
      <c r="F12" s="67" t="inlineStr">
        <is>
          <t>admin / flexivel</t>
        </is>
      </c>
    </row>
    <row r="13" ht="25.5" customHeight="1" s="58">
      <c r="A13" s="69" t="n">
        <v>7</v>
      </c>
      <c r="B13" s="70" t="inlineStr">
        <is>
          <t>Segurança</t>
        </is>
      </c>
      <c r="C13" s="71" t="inlineStr">
        <is>
          <t>Tela de Usuários (criar, editar, remover) + trocar senha + sair</t>
        </is>
      </c>
      <c r="D13" s="68" t="inlineStr">
        <is>
          <t>Concluído</t>
        </is>
      </c>
      <c r="E13" s="69" t="inlineStr">
        <is>
          <t>19/06/2026</t>
        </is>
      </c>
      <c r="F13" s="71" t="n"/>
    </row>
    <row r="14" ht="25.5" customHeight="1" s="58">
      <c r="A14" s="65" t="n">
        <v>8</v>
      </c>
      <c r="B14" s="66" t="inlineStr">
        <is>
          <t>Segurança</t>
        </is>
      </c>
      <c r="C14" s="67" t="inlineStr">
        <is>
          <t>Upload seguro (tipos permitidos + limite de tamanho)</t>
        </is>
      </c>
      <c r="D14" s="68" t="inlineStr">
        <is>
          <t>Concluído</t>
        </is>
      </c>
      <c r="E14" s="65" t="inlineStr">
        <is>
          <t>19/06/2026</t>
        </is>
      </c>
      <c r="F14" s="67" t="n"/>
    </row>
    <row r="15" ht="25.5" customHeight="1" s="58">
      <c r="A15" s="69" t="n">
        <v>9</v>
      </c>
      <c r="B15" s="70" t="inlineStr">
        <is>
          <t>Segurança</t>
        </is>
      </c>
      <c r="C15" s="71" t="inlineStr">
        <is>
          <t>Chave de API (notícias) movida para .env, fora do Git</t>
        </is>
      </c>
      <c r="D15" s="68" t="inlineStr">
        <is>
          <t>Concluído</t>
        </is>
      </c>
      <c r="E15" s="69" t="inlineStr">
        <is>
          <t>22/06/2026</t>
        </is>
      </c>
      <c r="F15" s="71" t="n"/>
    </row>
    <row r="16" ht="18" customHeight="1" s="58">
      <c r="A16" s="64" t="inlineStr">
        <is>
          <t>ESTRUTURA E IMPLANTAÇÃO</t>
        </is>
      </c>
      <c r="B16" s="60" t="n"/>
      <c r="C16" s="60" t="n"/>
      <c r="D16" s="60" t="n"/>
      <c r="E16" s="60" t="n"/>
      <c r="F16" s="60" t="n"/>
    </row>
    <row r="17" ht="25.5" customHeight="1" s="58">
      <c r="A17" s="69" t="n">
        <v>10</v>
      </c>
      <c r="B17" s="70" t="inlineStr">
        <is>
          <t>Estrutura</t>
        </is>
      </c>
      <c r="C17" s="71" t="inlineStr">
        <is>
          <t>Reorganização das pastas do projeto</t>
        </is>
      </c>
      <c r="D17" s="68" t="inlineStr">
        <is>
          <t>Concluído</t>
        </is>
      </c>
      <c r="E17" s="69" t="inlineStr">
        <is>
          <t>19/06/2026</t>
        </is>
      </c>
      <c r="F17" s="71" t="n"/>
    </row>
    <row r="18" ht="25.5" customHeight="1" s="58">
      <c r="A18" s="65" t="n">
        <v>11</v>
      </c>
      <c r="B18" s="66" t="inlineStr">
        <is>
          <t>Estrutura</t>
        </is>
      </c>
      <c r="C18" s="67" t="inlineStr">
        <is>
          <t>requirements.txt, README e .gitignore</t>
        </is>
      </c>
      <c r="D18" s="68" t="inlineStr">
        <is>
          <t>Concluído</t>
        </is>
      </c>
      <c r="E18" s="65" t="inlineStr">
        <is>
          <t>19/06/2026</t>
        </is>
      </c>
      <c r="F18" s="67" t="n"/>
    </row>
    <row r="19" ht="25.5" customHeight="1" s="58">
      <c r="A19" s="69" t="n">
        <v>12</v>
      </c>
      <c r="B19" s="70" t="inlineStr">
        <is>
          <t>Estrutura</t>
        </is>
      </c>
      <c r="C19" s="71" t="inlineStr">
        <is>
          <t>Docker (1 comando) + código em volume para atualizar sem rebuild</t>
        </is>
      </c>
      <c r="D19" s="68" t="inlineStr">
        <is>
          <t>Concluído</t>
        </is>
      </c>
      <c r="E19" s="69" t="inlineStr">
        <is>
          <t>22/06/2026</t>
        </is>
      </c>
      <c r="F19" s="71" t="n"/>
    </row>
    <row r="20" ht="25.5" customHeight="1" s="58">
      <c r="A20" s="65" t="n">
        <v>13</v>
      </c>
      <c r="B20" s="66" t="inlineStr">
        <is>
          <t>Estrutura</t>
        </is>
      </c>
      <c r="C20" s="67" t="inlineStr">
        <is>
          <t>Scripts de iniciar servidor e configurar as TVs</t>
        </is>
      </c>
      <c r="D20" s="68" t="inlineStr">
        <is>
          <t>Concluído</t>
        </is>
      </c>
      <c r="E20" s="65" t="inlineStr">
        <is>
          <t>19/06/2026</t>
        </is>
      </c>
      <c r="F20" s="67" t="n"/>
    </row>
    <row r="21" ht="18" customHeight="1" s="58">
      <c r="A21" s="64" t="inlineStr">
        <is>
          <t>IDENTIDADE VISUAL</t>
        </is>
      </c>
      <c r="B21" s="60" t="n"/>
      <c r="C21" s="60" t="n"/>
      <c r="D21" s="60" t="n"/>
      <c r="E21" s="60" t="n"/>
      <c r="F21" s="60" t="n"/>
    </row>
    <row r="22" ht="25.5" customHeight="1" s="58">
      <c r="A22" s="65" t="n">
        <v>14</v>
      </c>
      <c r="B22" s="66" t="inlineStr">
        <is>
          <t>Identidade</t>
        </is>
      </c>
      <c r="C22" s="67" t="inlineStr">
        <is>
          <t>Logo do Grupo Flexível nas telas (login, admin, TVs)</t>
        </is>
      </c>
      <c r="D22" s="68" t="inlineStr">
        <is>
          <t>Concluído</t>
        </is>
      </c>
      <c r="E22" s="65" t="inlineStr">
        <is>
          <t>19/06/2026</t>
        </is>
      </c>
      <c r="F22" s="67" t="n"/>
    </row>
    <row r="23" ht="25.5" customHeight="1" s="58">
      <c r="A23" s="69" t="n">
        <v>15</v>
      </c>
      <c r="B23" s="70" t="inlineStr">
        <is>
          <t>Identidade</t>
        </is>
      </c>
      <c r="C23" s="71" t="inlineStr">
        <is>
          <t>Paleta verde da marca + fonte Roboto</t>
        </is>
      </c>
      <c r="D23" s="68" t="inlineStr">
        <is>
          <t>Concluído</t>
        </is>
      </c>
      <c r="E23" s="69" t="inlineStr">
        <is>
          <t>19/06/2026</t>
        </is>
      </c>
      <c r="F23" s="71" t="n"/>
    </row>
    <row r="24" ht="25.5" customHeight="1" s="58">
      <c r="A24" s="65" t="n">
        <v>16</v>
      </c>
      <c r="B24" s="66" t="inlineStr">
        <is>
          <t>Identidade</t>
        </is>
      </c>
      <c r="C24" s="67" t="inlineStr">
        <is>
          <t>Documento de identidade visual adaptado ao projeto</t>
        </is>
      </c>
      <c r="D24" s="68" t="inlineStr">
        <is>
          <t>Concluído</t>
        </is>
      </c>
      <c r="E24" s="65" t="inlineStr">
        <is>
          <t>19/06/2026</t>
        </is>
      </c>
      <c r="F24" s="67" t="n"/>
    </row>
    <row r="25" ht="18" customHeight="1" s="58">
      <c r="A25" s="64" t="inlineStr">
        <is>
          <t>GRADE DE PROGRAMAÇÃO (UNIFICADA)</t>
        </is>
      </c>
      <c r="B25" s="60" t="n"/>
      <c r="C25" s="60" t="n"/>
      <c r="D25" s="60" t="n"/>
      <c r="E25" s="60" t="n"/>
      <c r="F25" s="60" t="n"/>
    </row>
    <row r="26" ht="25.5" customHeight="1" s="58">
      <c r="A26" s="65" t="n">
        <v>17</v>
      </c>
      <c r="B26" s="66" t="inlineStr">
        <is>
          <t>Grade</t>
        </is>
      </c>
      <c r="C26" s="67" t="inlineStr">
        <is>
          <t>Editor único 'Montar Grade' (substitui menus separados)</t>
        </is>
      </c>
      <c r="D26" s="68" t="inlineStr">
        <is>
          <t>Concluído</t>
        </is>
      </c>
      <c r="E26" s="65" t="inlineStr">
        <is>
          <t>22/06/2026</t>
        </is>
      </c>
      <c r="F26" s="67" t="n"/>
    </row>
    <row r="27" ht="25.5" customHeight="1" s="58">
      <c r="A27" s="69" t="n">
        <v>18</v>
      </c>
      <c r="B27" s="70" t="inlineStr">
        <is>
          <t>Grade</t>
        </is>
      </c>
      <c r="C27" s="71" t="inlineStr">
        <is>
          <t>Cartões visuais: miniatura, arrastar p/ reordenar, editar</t>
        </is>
      </c>
      <c r="D27" s="68" t="inlineStr">
        <is>
          <t>Concluído</t>
        </is>
      </c>
      <c r="E27" s="69" t="inlineStr">
        <is>
          <t>22/06/2026</t>
        </is>
      </c>
      <c r="F27" s="71" t="n"/>
    </row>
    <row r="28" ht="25.5" customHeight="1" s="58">
      <c r="A28" s="65" t="n">
        <v>19</v>
      </c>
      <c r="B28" s="66" t="inlineStr">
        <is>
          <t>Grade</t>
        </is>
      </c>
      <c r="C28" s="67" t="inlineStr">
        <is>
          <t>Tempo de cada slide editável no próprio cartão</t>
        </is>
      </c>
      <c r="D28" s="68" t="inlineStr">
        <is>
          <t>Concluído</t>
        </is>
      </c>
      <c r="E28" s="65" t="inlineStr">
        <is>
          <t>22/06/2026</t>
        </is>
      </c>
      <c r="F28" s="67" t="n"/>
    </row>
    <row r="29" ht="25.5" customHeight="1" s="58">
      <c r="A29" s="69" t="n">
        <v>20</v>
      </c>
      <c r="B29" s="70" t="inlineStr">
        <is>
          <t>Grade</t>
        </is>
      </c>
      <c r="C29" s="71" t="inlineStr">
        <is>
          <t>Remoção do cabeçalho do topo no display</t>
        </is>
      </c>
      <c r="D29" s="68" t="inlineStr">
        <is>
          <t>Concluído</t>
        </is>
      </c>
      <c r="E29" s="69" t="inlineStr">
        <is>
          <t>19/06/2026</t>
        </is>
      </c>
      <c r="F29" s="71" t="n"/>
    </row>
    <row r="30" ht="25.5" customHeight="1" s="58">
      <c r="A30" s="65" t="n">
        <v>21</v>
      </c>
      <c r="B30" s="66" t="inlineStr">
        <is>
          <t>Grade</t>
        </is>
      </c>
      <c r="C30" s="67" t="inlineStr">
        <is>
          <t>Remoção completa do módulo de KPI</t>
        </is>
      </c>
      <c r="D30" s="68" t="inlineStr">
        <is>
          <t>Concluído</t>
        </is>
      </c>
      <c r="E30" s="65" t="inlineStr">
        <is>
          <t>19/06/2026</t>
        </is>
      </c>
      <c r="F30" s="67" t="n"/>
    </row>
    <row r="31" ht="18" customHeight="1" s="58">
      <c r="A31" s="64" t="inlineStr">
        <is>
          <t>CONTEÚDOS / MÍDIA</t>
        </is>
      </c>
      <c r="B31" s="60" t="n"/>
      <c r="C31" s="60" t="n"/>
      <c r="D31" s="60" t="n"/>
      <c r="E31" s="60" t="n"/>
      <c r="F31" s="60" t="n"/>
    </row>
    <row r="32" ht="25.5" customHeight="1" s="58">
      <c r="A32" s="65" t="n">
        <v>22</v>
      </c>
      <c r="B32" s="66" t="inlineStr">
        <is>
          <t>Mídia</t>
        </is>
      </c>
      <c r="C32" s="67" t="inlineStr">
        <is>
          <t>Imagem, vídeo (MP4) e galeria de fotos</t>
        </is>
      </c>
      <c r="D32" s="68" t="inlineStr">
        <is>
          <t>Concluído</t>
        </is>
      </c>
      <c r="E32" s="65" t="inlineStr">
        <is>
          <t>19/06/2026</t>
        </is>
      </c>
      <c r="F32" s="67" t="n"/>
    </row>
    <row r="33" ht="25.5" customHeight="1" s="58">
      <c r="A33" s="69" t="n">
        <v>23</v>
      </c>
      <c r="B33" s="70" t="inlineStr">
        <is>
          <t>Mídia</t>
        </is>
      </c>
      <c r="C33" s="71" t="inlineStr">
        <is>
          <t>YouTube com player que avança no fim do vídeo</t>
        </is>
      </c>
      <c r="D33" s="68" t="inlineStr">
        <is>
          <t>Concluído</t>
        </is>
      </c>
      <c r="E33" s="69" t="inlineStr">
        <is>
          <t>22/06/2026</t>
        </is>
      </c>
      <c r="F33" s="71" t="inlineStr">
        <is>
          <t>toca mudo (autoplay)</t>
        </is>
      </c>
    </row>
    <row r="34" ht="25.5" customHeight="1" s="58">
      <c r="A34" s="65" t="n">
        <v>24</v>
      </c>
      <c r="B34" s="66" t="inlineStr">
        <is>
          <t>Mídia</t>
        </is>
      </c>
      <c r="C34" s="67" t="inlineStr">
        <is>
          <t>PDF exibido em tela cheia</t>
        </is>
      </c>
      <c r="D34" s="68" t="inlineStr">
        <is>
          <t>Concluído</t>
        </is>
      </c>
      <c r="E34" s="65" t="inlineStr">
        <is>
          <t>22/06/2026</t>
        </is>
      </c>
      <c r="F34" s="67" t="n"/>
    </row>
    <row r="35" ht="25.5" customHeight="1" s="58">
      <c r="A35" s="69" t="n">
        <v>25</v>
      </c>
      <c r="B35" s="70" t="inlineStr">
        <is>
          <t>Mídia</t>
        </is>
      </c>
      <c r="C35" s="71" t="inlineStr">
        <is>
          <t>Tela cheia com fundo desfocado (sem cortar nem esticar)</t>
        </is>
      </c>
      <c r="D35" s="68" t="inlineStr">
        <is>
          <t>Concluído</t>
        </is>
      </c>
      <c r="E35" s="69" t="inlineStr">
        <is>
          <t>22/06/2026</t>
        </is>
      </c>
      <c r="F35" s="71" t="n"/>
    </row>
    <row r="36" ht="25.5" customHeight="1" s="58">
      <c r="A36" s="65" t="n">
        <v>26</v>
      </c>
      <c r="B36" s="66" t="inlineStr">
        <is>
          <t>Mídia</t>
        </is>
      </c>
      <c r="C36" s="67" t="inlineStr">
        <is>
          <t>Regras de upload: PNG, JPG, JPEG, MP4, PDF + dimensões recomendadas</t>
        </is>
      </c>
      <c r="D36" s="68" t="inlineStr">
        <is>
          <t>Concluído</t>
        </is>
      </c>
      <c r="E36" s="65" t="inlineStr">
        <is>
          <t>22/06/2026</t>
        </is>
      </c>
      <c r="F36" s="67" t="n"/>
    </row>
    <row r="37" ht="18" customHeight="1" s="58">
      <c r="A37" s="64" t="inlineStr">
        <is>
          <t>BIBLIOTECA DE MÍDIA</t>
        </is>
      </c>
      <c r="B37" s="60" t="n"/>
      <c r="C37" s="60" t="n"/>
      <c r="D37" s="60" t="n"/>
      <c r="E37" s="60" t="n"/>
      <c r="F37" s="60" t="n"/>
    </row>
    <row r="38" ht="25.5" customHeight="1" s="58">
      <c r="A38" s="65" t="n">
        <v>27</v>
      </c>
      <c r="B38" s="66" t="inlineStr">
        <is>
          <t>Biblioteca</t>
        </is>
      </c>
      <c r="C38" s="67" t="inlineStr">
        <is>
          <t>Pastas: criar, navegar (caminho), enviar na pasta, excluir</t>
        </is>
      </c>
      <c r="D38" s="68" t="inlineStr">
        <is>
          <t>Concluído</t>
        </is>
      </c>
      <c r="E38" s="65" t="inlineStr">
        <is>
          <t>22/06/2026</t>
        </is>
      </c>
      <c r="F38" s="67" t="n"/>
    </row>
    <row r="39" ht="25.5" customHeight="1" s="58">
      <c r="A39" s="69" t="n">
        <v>28</v>
      </c>
      <c r="B39" s="70" t="inlineStr">
        <is>
          <t>Biblioteca</t>
        </is>
      </c>
      <c r="C39" s="71" t="inlineStr">
        <is>
          <t>Mover arquivos arrastando (atualiza referências nos slides)</t>
        </is>
      </c>
      <c r="D39" s="68" t="inlineStr">
        <is>
          <t>Concluído</t>
        </is>
      </c>
      <c r="E39" s="69" t="inlineStr">
        <is>
          <t>22/06/2026</t>
        </is>
      </c>
      <c r="F39" s="71" t="n"/>
    </row>
    <row r="40" ht="25.5" customHeight="1" s="58">
      <c r="A40" s="65" t="n">
        <v>29</v>
      </c>
      <c r="B40" s="66" t="inlineStr">
        <is>
          <t>Biblioteca</t>
        </is>
      </c>
      <c r="C40" s="67" t="inlineStr">
        <is>
          <t>Escolher da biblioteca ao montar a grade</t>
        </is>
      </c>
      <c r="D40" s="68" t="inlineStr">
        <is>
          <t>Concluído</t>
        </is>
      </c>
      <c r="E40" s="65" t="inlineStr">
        <is>
          <t>22/06/2026</t>
        </is>
      </c>
      <c r="F40" s="67" t="n"/>
    </row>
    <row r="41" ht="18" customHeight="1" s="58">
      <c r="A41" s="64" t="inlineStr">
        <is>
          <t>BARRA INFERIOR (RODAPÉ)</t>
        </is>
      </c>
      <c r="B41" s="60" t="n"/>
      <c r="C41" s="60" t="n"/>
      <c r="D41" s="60" t="n"/>
      <c r="E41" s="60" t="n"/>
      <c r="F41" s="60" t="n"/>
    </row>
    <row r="42" ht="25.5" customHeight="1" s="58">
      <c r="A42" s="65" t="n">
        <v>30</v>
      </c>
      <c r="B42" s="66" t="inlineStr">
        <is>
          <t>Barra</t>
        </is>
      </c>
      <c r="C42" s="67" t="inlineStr">
        <is>
          <t>Construtor de barra: cor (HEX/RGB) e ordem dos widgets</t>
        </is>
      </c>
      <c r="D42" s="68" t="inlineStr">
        <is>
          <t>Concluído</t>
        </is>
      </c>
      <c r="E42" s="65" t="inlineStr">
        <is>
          <t>19/06/2026</t>
        </is>
      </c>
      <c r="F42" s="67" t="n"/>
    </row>
    <row r="43" ht="25.5" customHeight="1" s="58">
      <c r="A43" s="69" t="n">
        <v>31</v>
      </c>
      <c r="B43" s="70" t="inlineStr">
        <is>
          <t>Barra</t>
        </is>
      </c>
      <c r="C43" s="71" t="inlineStr">
        <is>
          <t>Posicionar widgets: esquerda / centro / direita</t>
        </is>
      </c>
      <c r="D43" s="68" t="inlineStr">
        <is>
          <t>Concluído</t>
        </is>
      </c>
      <c r="E43" s="69" t="inlineStr">
        <is>
          <t>22/06/2026</t>
        </is>
      </c>
      <c r="F43" s="71" t="n"/>
    </row>
    <row r="44" ht="25.5" customHeight="1" s="58">
      <c r="A44" s="65" t="n">
        <v>32</v>
      </c>
      <c r="B44" s="66" t="inlineStr">
        <is>
          <t>Barra</t>
        </is>
      </c>
      <c r="C44" s="67" t="inlineStr">
        <is>
          <t>Altura da barra configurável</t>
        </is>
      </c>
      <c r="D44" s="68" t="inlineStr">
        <is>
          <t>Concluído</t>
        </is>
      </c>
      <c r="E44" s="65" t="inlineStr">
        <is>
          <t>22/06/2026</t>
        </is>
      </c>
      <c r="F44" s="67" t="n"/>
    </row>
    <row r="45" ht="25.5" customHeight="1" s="58">
      <c r="A45" s="69" t="n">
        <v>33</v>
      </c>
      <c r="B45" s="70" t="inlineStr">
        <is>
          <t>Barra</t>
        </is>
      </c>
      <c r="C45" s="71" t="inlineStr">
        <is>
          <t>Logo no rodapé com upload e opção de fundo transparente</t>
        </is>
      </c>
      <c r="D45" s="68" t="inlineStr">
        <is>
          <t>Concluído</t>
        </is>
      </c>
      <c r="E45" s="69" t="inlineStr">
        <is>
          <t>22/06/2026</t>
        </is>
      </c>
      <c r="F45" s="71" t="n"/>
    </row>
    <row r="46" ht="25.5" customHeight="1" s="58">
      <c r="A46" s="65" t="n">
        <v>34</v>
      </c>
      <c r="B46" s="66" t="inlineStr">
        <is>
          <t>Barra</t>
        </is>
      </c>
      <c r="C46" s="67" t="inlineStr">
        <is>
          <t>Data e hora com seleção de fuso horário</t>
        </is>
      </c>
      <c r="D46" s="68" t="inlineStr">
        <is>
          <t>Concluído</t>
        </is>
      </c>
      <c r="E46" s="65" t="inlineStr">
        <is>
          <t>19/06/2026</t>
        </is>
      </c>
      <c r="F46" s="67" t="n"/>
    </row>
    <row r="47" ht="25.5" customHeight="1" s="58">
      <c r="A47" s="69" t="n">
        <v>35</v>
      </c>
      <c r="B47" s="70" t="inlineStr">
        <is>
          <t>Barra</t>
        </is>
      </c>
      <c r="C47" s="71" t="inlineStr">
        <is>
          <t>Cotações Dólar e Euro (USD/BRL, EUR/BRL) atualizadas a cada 1 hora</t>
        </is>
      </c>
      <c r="D47" s="68" t="inlineStr">
        <is>
          <t>Concluído</t>
        </is>
      </c>
      <c r="E47" s="69" t="inlineStr">
        <is>
          <t>24/06/2026</t>
        </is>
      </c>
      <c r="F47" s="71" t="inlineStr">
        <is>
          <t>ícones $ / €</t>
        </is>
      </c>
    </row>
    <row r="48" ht="25.5" customHeight="1" s="58">
      <c r="A48" s="65" t="n">
        <v>36</v>
      </c>
      <c r="B48" s="66" t="inlineStr">
        <is>
          <t>Barra</t>
        </is>
      </c>
      <c r="C48" s="67" t="inlineStr">
        <is>
          <t>Previsão do tempo por cidade (seleção exata por coordenadas)</t>
        </is>
      </c>
      <c r="D48" s="68" t="inlineStr">
        <is>
          <t>Concluído</t>
        </is>
      </c>
      <c r="E48" s="65" t="inlineStr">
        <is>
          <t>22/06/2026</t>
        </is>
      </c>
      <c r="F48" s="67" t="inlineStr">
        <is>
          <t>mín azul / máx vermelho</t>
        </is>
      </c>
    </row>
    <row r="49" ht="25.5" customHeight="1" s="58">
      <c r="A49" s="69" t="n">
        <v>37</v>
      </c>
      <c r="B49" s="70" t="inlineStr">
        <is>
          <t>Notícias</t>
        </is>
      </c>
      <c r="C49" s="71" t="inlineStr">
        <is>
          <t>Notícias por categoria: imagem + manchete + fonte</t>
        </is>
      </c>
      <c r="D49" s="68" t="inlineStr">
        <is>
          <t>Concluído</t>
        </is>
      </c>
      <c r="E49" s="69" t="inlineStr">
        <is>
          <t>22/06/2026</t>
        </is>
      </c>
      <c r="F49" s="71" t="inlineStr">
        <is>
          <t>via GNews</t>
        </is>
      </c>
    </row>
    <row r="50" ht="25.5" customHeight="1" s="58">
      <c r="A50" s="65" t="n">
        <v>38</v>
      </c>
      <c r="B50" s="66" t="inlineStr">
        <is>
          <t>Notícias</t>
        </is>
      </c>
      <c r="C50" s="67" t="inlineStr">
        <is>
          <t>1 notícia por volta da grade + palavras proibidas (global)</t>
        </is>
      </c>
      <c r="D50" s="68" t="inlineStr">
        <is>
          <t>Concluído</t>
        </is>
      </c>
      <c r="E50" s="65" t="inlineStr">
        <is>
          <t>22/06/2026</t>
        </is>
      </c>
      <c r="F50" s="67" t="n"/>
    </row>
    <row r="51" ht="18" customHeight="1" s="58">
      <c r="A51" s="64" t="inlineStr">
        <is>
          <t>PENDÊNCIAS – FASE 2</t>
        </is>
      </c>
      <c r="B51" s="60" t="n"/>
      <c r="C51" s="60" t="n"/>
      <c r="D51" s="60" t="n"/>
      <c r="E51" s="60" t="n"/>
      <c r="F51" s="60" t="n"/>
    </row>
    <row r="52" ht="25.5" customHeight="1" s="58">
      <c r="A52" s="65" t="n">
        <v>39</v>
      </c>
      <c r="B52" s="66" t="inlineStr">
        <is>
          <t>Fase 2</t>
        </is>
      </c>
      <c r="C52" s="67" t="inlineStr">
        <is>
          <t>Grupos de telas (aplicar grade a um grupo)</t>
        </is>
      </c>
      <c r="D52" s="72" t="inlineStr">
        <is>
          <t>Pendente</t>
        </is>
      </c>
      <c r="E52" s="65" t="n"/>
      <c r="F52" s="67" t="n"/>
    </row>
    <row r="53" ht="25.5" customHeight="1" s="58">
      <c r="A53" s="69" t="n">
        <v>40</v>
      </c>
      <c r="B53" s="70" t="inlineStr">
        <is>
          <t>Fase 2</t>
        </is>
      </c>
      <c r="C53" s="71" t="inlineStr">
        <is>
          <t>Captura de URL (print de páginas estáticas, com zoom ajustável)</t>
        </is>
      </c>
      <c r="D53" s="72" t="inlineStr">
        <is>
          <t>Concluído</t>
        </is>
      </c>
      <c r="E53" s="69" t="inlineStr">
        <is>
          <t>24/06/2026</t>
        </is>
      </c>
      <c r="F53" s="71" t="n"/>
    </row>
    <row r="54" ht="25.5" customHeight="1" s="58">
      <c r="A54" s="65" t="n">
        <v>41</v>
      </c>
      <c r="B54" s="66" t="inlineStr">
        <is>
          <t>Fase 2</t>
        </is>
      </c>
      <c r="C54" s="67" t="inlineStr">
        <is>
          <t>Posts de redes sociais (Facebook)</t>
        </is>
      </c>
      <c r="D54" s="72" t="inlineStr">
        <is>
          <t>Pendente</t>
        </is>
      </c>
      <c r="E54" s="65" t="n"/>
      <c r="F54" s="67" t="inlineStr">
        <is>
          <t>depende de API externa</t>
        </is>
      </c>
    </row>
    <row r="55" ht="25.5" customHeight="1" s="58">
      <c r="A55" s="69" t="n">
        <v>42</v>
      </c>
      <c r="B55" s="70" t="inlineStr">
        <is>
          <t>Fase 2</t>
        </is>
      </c>
      <c r="C55" s="71" t="inlineStr">
        <is>
          <t>Banco de dados (hoje o conteúdo é arquivo JSON)</t>
        </is>
      </c>
      <c r="D55" s="72" t="inlineStr">
        <is>
          <t>Pendente</t>
        </is>
      </c>
      <c r="E55" s="69" t="n"/>
      <c r="F55" s="71" t="n"/>
    </row>
    <row r="56" ht="25.5" customHeight="1" s="58">
      <c r="A56" s="65" t="n">
        <v>43</v>
      </c>
      <c r="B56" s="66" t="inlineStr">
        <is>
          <t>Fase 2</t>
        </is>
      </c>
      <c r="C56" s="67" t="inlineStr">
        <is>
          <t>Simular a grade antes de publicar</t>
        </is>
      </c>
      <c r="D56" s="72" t="inlineStr">
        <is>
          <t>Pendente</t>
        </is>
      </c>
      <c r="E56" s="65" t="n"/>
      <c r="F56" s="67" t="n"/>
    </row>
    <row r="57" ht="25.5" customHeight="1" s="58">
      <c r="A57" s="69" t="n">
        <v>44</v>
      </c>
      <c r="B57" s="70" t="inlineStr">
        <is>
          <t>Fase 2</t>
        </is>
      </c>
      <c r="C57" s="71" t="inlineStr">
        <is>
          <t>Backup automático do conteúdo</t>
        </is>
      </c>
      <c r="D57" s="72" t="inlineStr">
        <is>
          <t>Pendente</t>
        </is>
      </c>
      <c r="E57" s="69" t="n"/>
      <c r="F57" s="71" t="n"/>
    </row>
    <row r="58" ht="25.5" customHeight="1" s="58">
      <c r="A58" s="65" t="n">
        <v>45</v>
      </c>
      <c r="B58" s="66" t="inlineStr">
        <is>
          <t>Fase 2</t>
        </is>
      </c>
      <c r="C58" s="67" t="inlineStr">
        <is>
          <t>Troca de senha obrigatória no 1º acesso</t>
        </is>
      </c>
      <c r="D58" s="72" t="inlineStr">
        <is>
          <t>Pendente</t>
        </is>
      </c>
      <c r="E58" s="65" t="n"/>
      <c r="F58" s="67" t="n"/>
    </row>
    <row r="59" ht="25.5" customHeight="1" s="58">
      <c r="A59" s="69" t="n">
        <v>46</v>
      </c>
      <c r="B59" s="70" t="inlineStr">
        <is>
          <t>Fase 2</t>
        </is>
      </c>
      <c r="C59" s="71" t="inlineStr">
        <is>
          <t>Testes automatizados formais</t>
        </is>
      </c>
      <c r="D59" s="72" t="inlineStr">
        <is>
          <t>Pendente</t>
        </is>
      </c>
      <c r="E59" s="69" t="n"/>
      <c r="F59" s="71" t="n"/>
    </row>
    <row r="60" ht="18" customHeight="1" s="58">
      <c r="A60" s="73" t="inlineStr">
        <is>
          <t>PERFIS, ACESSO E INTEGRAÇÕES (24/06/2026)</t>
        </is>
      </c>
      <c r="B60" s="60" t="n"/>
      <c r="C60" s="60" t="n"/>
      <c r="D60" s="60" t="n"/>
      <c r="E60" s="60" t="n"/>
      <c r="F60" s="60" t="n"/>
    </row>
    <row r="61">
      <c r="A61" s="74" t="n">
        <v>47</v>
      </c>
      <c r="B61" s="75" t="inlineStr">
        <is>
          <t>Acesso</t>
        </is>
      </c>
      <c r="C61" s="76" t="inlineStr">
        <is>
          <t>Perfis de acesso com permissões por área (vinculados a usuários)</t>
        </is>
      </c>
      <c r="D61" s="77" t="inlineStr">
        <is>
          <t>Concluído</t>
        </is>
      </c>
      <c r="E61" s="74" t="inlineStr">
        <is>
          <t>24/06/2026</t>
        </is>
      </c>
      <c r="F61" s="76" t="inlineStr"/>
    </row>
    <row r="62">
      <c r="A62" s="74" t="n">
        <v>48</v>
      </c>
      <c r="B62" s="75" t="inlineStr">
        <is>
          <t>Acesso</t>
        </is>
      </c>
      <c r="C62" s="76" t="inlineStr">
        <is>
          <t>E-mail obrigatório no cadastro de usuário</t>
        </is>
      </c>
      <c r="D62" s="77" t="inlineStr">
        <is>
          <t>Concluído</t>
        </is>
      </c>
      <c r="E62" s="74" t="inlineStr">
        <is>
          <t>24/06/2026</t>
        </is>
      </c>
      <c r="F62" s="76" t="inlineStr"/>
    </row>
    <row r="63">
      <c r="A63" s="74" t="n">
        <v>49</v>
      </c>
      <c r="B63" s="75" t="inlineStr">
        <is>
          <t>Acesso</t>
        </is>
      </c>
      <c r="C63" s="76" t="inlineStr">
        <is>
          <t>Esqueci a senha — redefinição por e-mail (token válido por 1h)</t>
        </is>
      </c>
      <c r="D63" s="77" t="inlineStr">
        <is>
          <t>Concluído</t>
        </is>
      </c>
      <c r="E63" s="74" t="inlineStr">
        <is>
          <t>24/06/2026</t>
        </is>
      </c>
      <c r="F63" s="76" t="inlineStr"/>
    </row>
    <row r="64">
      <c r="A64" s="74" t="n">
        <v>50</v>
      </c>
      <c r="B64" s="75" t="inlineStr">
        <is>
          <t>Acesso</t>
        </is>
      </c>
      <c r="C64" s="76" t="inlineStr">
        <is>
          <t>Configuração de SMTP no painel, com botão de teste de envio</t>
        </is>
      </c>
      <c r="D64" s="77" t="inlineStr">
        <is>
          <t>Concluído</t>
        </is>
      </c>
      <c r="E64" s="74" t="inlineStr">
        <is>
          <t>24/06/2026</t>
        </is>
      </c>
      <c r="F64" s="76" t="inlineStr"/>
    </row>
    <row r="65">
      <c r="A65" s="74" t="n">
        <v>51</v>
      </c>
      <c r="B65" s="75" t="inlineStr">
        <is>
          <t>Acesso</t>
        </is>
      </c>
      <c r="C65" s="76" t="inlineStr">
        <is>
          <t>Login aceitando usuário ou e-mail</t>
        </is>
      </c>
      <c r="D65" s="77" t="inlineStr">
        <is>
          <t>Concluído</t>
        </is>
      </c>
      <c r="E65" s="74" t="inlineStr">
        <is>
          <t>24/06/2026</t>
        </is>
      </c>
      <c r="F65" s="76" t="inlineStr"/>
    </row>
    <row r="66">
      <c r="A66" s="74" t="n">
        <v>52</v>
      </c>
      <c r="B66" s="75" t="inlineStr">
        <is>
          <t>Integrações</t>
        </is>
      </c>
      <c r="C66" s="76" t="inlineStr">
        <is>
          <t>Grafana nativo: login automático, playlist kiosk, auto-refresh, re-login</t>
        </is>
      </c>
      <c r="D66" s="77" t="inlineStr">
        <is>
          <t>Concluído</t>
        </is>
      </c>
      <c r="E66" s="74" t="inlineStr">
        <is>
          <t>24/06/2026</t>
        </is>
      </c>
      <c r="F66" s="76" t="inlineStr"/>
    </row>
    <row r="67">
      <c r="A67" s="74" t="n">
        <v>53</v>
      </c>
      <c r="B67" s="75" t="inlineStr">
        <is>
          <t>Mídia</t>
        </is>
      </c>
      <c r="C67" s="76" t="inlineStr">
        <is>
          <t>Tela cheia (full screen) nas TVs</t>
        </is>
      </c>
      <c r="D67" s="77" t="inlineStr">
        <is>
          <t>Concluído</t>
        </is>
      </c>
      <c r="E67" s="74" t="inlineStr">
        <is>
          <t>24/06/2026</t>
        </is>
      </c>
      <c r="F67" s="76" t="inlineStr"/>
    </row>
    <row r="68">
      <c r="A68" s="74" t="n">
        <v>54</v>
      </c>
      <c r="B68" s="75" t="inlineStr">
        <is>
          <t>Mídia</t>
        </is>
      </c>
      <c r="C68" s="76" t="inlineStr">
        <is>
          <t>Vídeo preenchendo a tela sem cortar o rodapé</t>
        </is>
      </c>
      <c r="D68" s="77" t="inlineStr">
        <is>
          <t>Concluído</t>
        </is>
      </c>
      <c r="E68" s="74" t="inlineStr">
        <is>
          <t>24/06/2026</t>
        </is>
      </c>
      <c r="F68" s="76" t="inlineStr"/>
    </row>
  </sheetData>
  <mergeCells count="13">
    <mergeCell ref="A41:F41"/>
    <mergeCell ref="A2:F2"/>
    <mergeCell ref="A11:F11"/>
    <mergeCell ref="A16:F16"/>
    <mergeCell ref="A51:F51"/>
    <mergeCell ref="A60:F60"/>
    <mergeCell ref="A1:F1"/>
    <mergeCell ref="A5:F5"/>
    <mergeCell ref="A37:F37"/>
    <mergeCell ref="A31:F31"/>
    <mergeCell ref="A3:F3"/>
    <mergeCell ref="A21:F2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57" min="1" max="1"/>
    <col width="38" customWidth="1" style="57" min="2" max="2"/>
    <col width="16" customWidth="1" style="57" min="3" max="3"/>
    <col width="13" customWidth="1" style="57" min="4" max="5"/>
    <col width="10" customWidth="1" style="57" min="6" max="6"/>
    <col width="13" customWidth="1" style="57" min="7" max="7"/>
    <col width="12" customWidth="1" style="57" min="8" max="8"/>
    <col width="30" customWidth="1" style="57" min="9" max="9"/>
  </cols>
  <sheetData>
    <row r="1" ht="31.5" customHeight="1" s="58">
      <c r="A1" s="78" t="inlineStr">
        <is>
          <t>CRONOGRAMA DE PROJETO – TV CORPORATIVA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</row>
    <row r="2" ht="15.75" customHeight="1" s="58">
      <c r="A2" s="80" t="inlineStr">
        <is>
          <t>Gerado em: 19/06/2026   |   Escala: 6 a 20 telas   |   Versão: 1.0</t>
        </is>
      </c>
    </row>
    <row r="3" ht="27.75" customHeight="1" s="58">
      <c r="A3" s="81" t="inlineStr">
        <is>
          <t>Nº</t>
        </is>
      </c>
      <c r="B3" s="81" t="inlineStr">
        <is>
          <t>Tarefa / Entregável</t>
        </is>
      </c>
      <c r="C3" s="81" t="inlineStr">
        <is>
          <t>Responsável</t>
        </is>
      </c>
      <c r="D3" s="81" t="inlineStr">
        <is>
          <t>Início</t>
        </is>
      </c>
      <c r="E3" s="81" t="inlineStr">
        <is>
          <t>Fim</t>
        </is>
      </c>
      <c r="F3" s="81" t="inlineStr">
        <is>
          <t>Dias</t>
        </is>
      </c>
      <c r="G3" s="81" t="inlineStr">
        <is>
          <t>Status</t>
        </is>
      </c>
      <c r="H3" s="81" t="inlineStr">
        <is>
          <t>Progresso</t>
        </is>
      </c>
      <c r="I3" s="81" t="inlineStr">
        <is>
          <t>Observações</t>
        </is>
      </c>
    </row>
    <row r="4" ht="24" customHeight="1" s="58">
      <c r="A4" s="82" t="inlineStr">
        <is>
          <t xml:space="preserve">  FASE 1 – PLANEJAMENTO</t>
        </is>
      </c>
      <c r="B4" s="83" t="n"/>
      <c r="C4" s="83" t="n"/>
      <c r="D4" s="83" t="n"/>
      <c r="E4" s="83" t="n"/>
      <c r="F4" s="83" t="n"/>
      <c r="G4" s="83" t="n"/>
      <c r="H4" s="83" t="n"/>
      <c r="I4" s="83" t="n"/>
    </row>
    <row r="5" ht="21.75" customHeight="1" s="58">
      <c r="A5" s="84" t="inlineStr">
        <is>
          <t>1.1</t>
        </is>
      </c>
      <c r="B5" s="85" t="inlineStr">
        <is>
          <t>Levantamento de requisitos e objetivos do projeto</t>
        </is>
      </c>
      <c r="C5" s="85" t="inlineStr">
        <is>
          <t>Gestão / TI</t>
        </is>
      </c>
      <c r="D5" s="86" t="n">
        <v>46196</v>
      </c>
      <c r="E5" s="86" t="n">
        <v>46200</v>
      </c>
      <c r="F5" s="87">
        <f>E5-D5</f>
        <v/>
      </c>
      <c r="G5" s="88" t="inlineStr">
        <is>
          <t>Concluído</t>
        </is>
      </c>
      <c r="H5" s="89" t="n">
        <v>1</v>
      </c>
      <c r="I5" s="85" t="inlineStr">
        <is>
          <t>Definir quais informações serão exibidas em cada tela</t>
        </is>
      </c>
    </row>
    <row r="6" ht="21.75" customHeight="1" s="58">
      <c r="A6" s="90" t="inlineStr">
        <is>
          <t>1.2</t>
        </is>
      </c>
      <c r="B6" s="91" t="inlineStr">
        <is>
          <t>Mapeamento dos pontos de instalação (localização das telas)</t>
        </is>
      </c>
      <c r="C6" s="91" t="inlineStr">
        <is>
          <t>TI / Infraestrutura</t>
        </is>
      </c>
      <c r="D6" s="92" t="n">
        <v>46197</v>
      </c>
      <c r="E6" s="92" t="n">
        <v>46201</v>
      </c>
      <c r="F6" s="93">
        <f>E6-D6</f>
        <v/>
      </c>
      <c r="G6" s="88" t="inlineStr">
        <is>
          <t>Concluído</t>
        </is>
      </c>
      <c r="H6" s="94" t="n">
        <v>1</v>
      </c>
      <c r="I6" s="91" t="inlineStr">
        <is>
          <t>Planta baixa com posição de cada TV</t>
        </is>
      </c>
    </row>
    <row r="7" ht="21.75" customHeight="1" s="58">
      <c r="A7" s="84" t="inlineStr">
        <is>
          <t>1.3</t>
        </is>
      </c>
      <c r="B7" s="85" t="inlineStr">
        <is>
          <t>Definição do layout e identidade visual dos conteúdos</t>
        </is>
      </c>
      <c r="C7" s="85" t="inlineStr">
        <is>
          <t>Marketing / TI</t>
        </is>
      </c>
      <c r="D7" s="86" t="n">
        <v>46199</v>
      </c>
      <c r="E7" s="86" t="n">
        <v>46205</v>
      </c>
      <c r="F7" s="87">
        <f>E7-D7</f>
        <v/>
      </c>
      <c r="G7" s="88" t="inlineStr">
        <is>
          <t>Concluído</t>
        </is>
      </c>
      <c r="H7" s="89" t="n">
        <v>1</v>
      </c>
      <c r="I7" s="85" t="inlineStr">
        <is>
          <t>Cores, fontes e templates das telas</t>
        </is>
      </c>
    </row>
    <row r="8" ht="21.75" customHeight="1" s="58">
      <c r="A8" s="90" t="inlineStr">
        <is>
          <t>1.4</t>
        </is>
      </c>
      <c r="B8" s="91" t="inlineStr">
        <is>
          <t>Escolha da plataforma/software de gerenciamento de conteúdo</t>
        </is>
      </c>
      <c r="C8" s="91" t="inlineStr">
        <is>
          <t>TI</t>
        </is>
      </c>
      <c r="D8" s="92" t="n">
        <v>46201</v>
      </c>
      <c r="E8" s="92" t="n">
        <v>46206</v>
      </c>
      <c r="F8" s="93">
        <f>E8-D8</f>
        <v/>
      </c>
      <c r="G8" s="88" t="inlineStr">
        <is>
          <t>Concluído</t>
        </is>
      </c>
      <c r="H8" s="94" t="n">
        <v>1</v>
      </c>
      <c r="I8" s="91" t="inlineStr">
        <is>
          <t>Avaliar opções: Xibo, ScreenCloud, solução própria</t>
        </is>
      </c>
    </row>
    <row r="9" ht="21.75" customHeight="1" s="58">
      <c r="A9" s="84" t="inlineStr">
        <is>
          <t>1.5</t>
        </is>
      </c>
      <c r="B9" s="85" t="inlineStr">
        <is>
          <t>Aprovação do plano de projeto pela diretoria</t>
        </is>
      </c>
      <c r="C9" s="85" t="inlineStr">
        <is>
          <t>Gestão</t>
        </is>
      </c>
      <c r="D9" s="86" t="n">
        <v>46206</v>
      </c>
      <c r="E9" s="86" t="n">
        <v>46208</v>
      </c>
      <c r="F9" s="87">
        <f>E9-D9</f>
        <v/>
      </c>
      <c r="G9" s="95" t="inlineStr">
        <is>
          <t>Em andamento</t>
        </is>
      </c>
      <c r="H9" s="89" t="n">
        <v>0.5</v>
      </c>
      <c r="I9" s="85" t="inlineStr">
        <is>
          <t>Apresentar cronograma e orçamento para aprovação</t>
        </is>
      </c>
    </row>
    <row r="10" ht="24" customHeight="1" s="58">
      <c r="A10" s="82" t="inlineStr">
        <is>
          <t xml:space="preserve">  FASE 2 – DESENVOLVIMENTO</t>
        </is>
      </c>
      <c r="B10" s="83" t="n"/>
      <c r="C10" s="83" t="n"/>
      <c r="D10" s="83" t="n"/>
      <c r="E10" s="83" t="n"/>
      <c r="F10" s="83" t="n"/>
      <c r="G10" s="83" t="n"/>
      <c r="H10" s="83" t="n"/>
      <c r="I10" s="83" t="n"/>
    </row>
    <row r="11" ht="21.75" customHeight="1" s="58">
      <c r="A11" s="96" t="inlineStr">
        <is>
          <t>2.1</t>
        </is>
      </c>
      <c r="B11" s="97" t="inlineStr">
        <is>
          <t>Configuração do servidor / ambiente de hospedagem</t>
        </is>
      </c>
      <c r="C11" s="97" t="inlineStr">
        <is>
          <t>TI</t>
        </is>
      </c>
      <c r="D11" s="98" t="n">
        <v>46209</v>
      </c>
      <c r="E11" s="98" t="n">
        <v>46213</v>
      </c>
      <c r="F11" s="99">
        <f>E11-D11</f>
        <v/>
      </c>
      <c r="G11" s="88" t="inlineStr">
        <is>
          <t>Concluído</t>
        </is>
      </c>
      <c r="H11" s="100" t="n">
        <v>1</v>
      </c>
      <c r="I11" s="97" t="inlineStr">
        <is>
          <t>Servidor local ou nuvem para o CMS</t>
        </is>
      </c>
    </row>
    <row r="12" ht="21.75" customHeight="1" s="58">
      <c r="A12" s="101" t="inlineStr">
        <is>
          <t>2.2</t>
        </is>
      </c>
      <c r="B12" s="102" t="inlineStr">
        <is>
          <t>Instalação e configuração do software de gerenciamento (CMS)</t>
        </is>
      </c>
      <c r="C12" s="102" t="inlineStr">
        <is>
          <t>TI</t>
        </is>
      </c>
      <c r="D12" s="103" t="n">
        <v>46212</v>
      </c>
      <c r="E12" s="103" t="n">
        <v>46218</v>
      </c>
      <c r="F12" s="104">
        <f>E12-D12</f>
        <v/>
      </c>
      <c r="G12" s="88" t="inlineStr">
        <is>
          <t>Concluído</t>
        </is>
      </c>
      <c r="H12" s="105" t="n">
        <v>1</v>
      </c>
      <c r="I12" s="102" t="inlineStr">
        <is>
          <t>Instalar, licenciar e configurar o CMS escolhido</t>
        </is>
      </c>
    </row>
    <row r="13" ht="21.75" customHeight="1" s="58">
      <c r="A13" s="96" t="inlineStr">
        <is>
          <t>2.3</t>
        </is>
      </c>
      <c r="B13" s="97" t="inlineStr">
        <is>
          <t>Criação dos templates e playlists de conteúdo</t>
        </is>
      </c>
      <c r="C13" s="97" t="inlineStr">
        <is>
          <t>TI / Marketing</t>
        </is>
      </c>
      <c r="D13" s="98" t="n">
        <v>46216</v>
      </c>
      <c r="E13" s="98" t="n">
        <v>46226</v>
      </c>
      <c r="F13" s="99">
        <f>E13-D13</f>
        <v/>
      </c>
      <c r="G13" s="88" t="inlineStr">
        <is>
          <t>Concluído</t>
        </is>
      </c>
      <c r="H13" s="100" t="n">
        <v>1</v>
      </c>
      <c r="I13" s="97" t="inlineStr">
        <is>
          <t>Slides, vídeos institucionais, indicadores e avisos</t>
        </is>
      </c>
    </row>
    <row r="14" ht="21.75" customHeight="1" s="58">
      <c r="A14" s="101" t="inlineStr">
        <is>
          <t>2.4</t>
        </is>
      </c>
      <c r="B14" s="102" t="inlineStr">
        <is>
          <t>Desenvolvimento de integração com sistemas internos (ERP/BI)</t>
        </is>
      </c>
      <c r="C14" s="102" t="inlineStr">
        <is>
          <t>TI</t>
        </is>
      </c>
      <c r="D14" s="103" t="n">
        <v>46218</v>
      </c>
      <c r="E14" s="103" t="n">
        <v>46231</v>
      </c>
      <c r="F14" s="104">
        <f>E14-D14</f>
        <v/>
      </c>
      <c r="G14" s="88" t="inlineStr">
        <is>
          <t>Concluído</t>
        </is>
      </c>
      <c r="H14" s="105" t="n">
        <v>1</v>
      </c>
      <c r="I14" s="102" t="inlineStr">
        <is>
          <t>Ex: exibir dados de produção, metas ou indicadores em tempo real</t>
        </is>
      </c>
    </row>
    <row r="15" ht="21.75" customHeight="1" s="58">
      <c r="A15" s="96" t="inlineStr">
        <is>
          <t>2.5</t>
        </is>
      </c>
      <c r="B15" s="97" t="inlineStr">
        <is>
          <t>Configuração dos players de mídia (dispositivos nas TVs)</t>
        </is>
      </c>
      <c r="C15" s="97" t="inlineStr">
        <is>
          <t>TI</t>
        </is>
      </c>
      <c r="D15" s="98" t="n">
        <v>46224</v>
      </c>
      <c r="E15" s="98" t="n">
        <v>46230</v>
      </c>
      <c r="F15" s="99">
        <f>E15-D15</f>
        <v/>
      </c>
      <c r="G15" s="88" t="inlineStr">
        <is>
          <t>Concluído</t>
        </is>
      </c>
      <c r="H15" s="100" t="n">
        <v>1</v>
      </c>
      <c r="I15" s="97" t="inlineStr">
        <is>
          <t>Raspberry Pi, Android box, ou player dedicado</t>
        </is>
      </c>
    </row>
    <row r="16" ht="21.75" customHeight="1" s="58">
      <c r="A16" s="101" t="inlineStr">
        <is>
          <t>2.6</t>
        </is>
      </c>
      <c r="B16" s="102" t="inlineStr">
        <is>
          <t>Criação do painel de administração / agendamento de conteúdo</t>
        </is>
      </c>
      <c r="C16" s="102" t="inlineStr">
        <is>
          <t>TI</t>
        </is>
      </c>
      <c r="D16" s="103" t="n">
        <v>46226</v>
      </c>
      <c r="E16" s="103" t="n">
        <v>46236</v>
      </c>
      <c r="F16" s="104">
        <f>E16-D16</f>
        <v/>
      </c>
      <c r="G16" s="88" t="inlineStr">
        <is>
          <t>Concluído</t>
        </is>
      </c>
      <c r="H16" s="105" t="n">
        <v>1</v>
      </c>
      <c r="I16" s="102" t="inlineStr">
        <is>
          <t>Interface para equipe gerenciar o que é exibido</t>
        </is>
      </c>
    </row>
    <row r="17" ht="24" customHeight="1" s="58">
      <c r="A17" s="82" t="inlineStr">
        <is>
          <t xml:space="preserve">  FASE 3 – TESTES E VALIDAÇÃO</t>
        </is>
      </c>
      <c r="B17" s="83" t="n"/>
      <c r="C17" s="83" t="n"/>
      <c r="D17" s="83" t="n"/>
      <c r="E17" s="83" t="n"/>
      <c r="F17" s="83" t="n"/>
      <c r="G17" s="83" t="n"/>
      <c r="H17" s="83" t="n"/>
      <c r="I17" s="83" t="n"/>
    </row>
    <row r="18" ht="21.75" customHeight="1" s="58">
      <c r="A18" s="106" t="inlineStr">
        <is>
          <t>3.1</t>
        </is>
      </c>
      <c r="B18" s="107" t="inlineStr">
        <is>
          <t>Teste em ambiente controlado (1 tela piloto)</t>
        </is>
      </c>
      <c r="C18" s="107" t="inlineStr">
        <is>
          <t>TI</t>
        </is>
      </c>
      <c r="D18" s="108" t="n">
        <v>46237</v>
      </c>
      <c r="E18" s="108" t="n">
        <v>46241</v>
      </c>
      <c r="F18" s="109">
        <f>E18-D18</f>
        <v/>
      </c>
      <c r="G18" s="88" t="inlineStr">
        <is>
          <t>Concluído</t>
        </is>
      </c>
      <c r="H18" s="110" t="n">
        <v>1</v>
      </c>
      <c r="I18" s="107" t="inlineStr">
        <is>
          <t>Validar funcionamento completo antes de expandir</t>
        </is>
      </c>
    </row>
    <row r="19" ht="21.75" customHeight="1" s="58">
      <c r="A19" s="111" t="inlineStr">
        <is>
          <t>3.2</t>
        </is>
      </c>
      <c r="B19" s="112" t="inlineStr">
        <is>
          <t>Ajustes e correções identificados no piloto</t>
        </is>
      </c>
      <c r="C19" s="112" t="inlineStr">
        <is>
          <t>TI / Marketing</t>
        </is>
      </c>
      <c r="D19" s="113" t="n">
        <v>46241</v>
      </c>
      <c r="E19" s="113" t="n">
        <v>46245</v>
      </c>
      <c r="F19" s="114">
        <f>E19-D19</f>
        <v/>
      </c>
      <c r="G19" s="88" t="inlineStr">
        <is>
          <t>Concluído</t>
        </is>
      </c>
      <c r="H19" s="115" t="n">
        <v>1</v>
      </c>
      <c r="I19" s="112" t="inlineStr">
        <is>
          <t>Corrigir bugs, layout e fluxo de conteúdo</t>
        </is>
      </c>
    </row>
    <row r="20" ht="21.75" customHeight="1" s="58">
      <c r="A20" s="106" t="inlineStr">
        <is>
          <t>3.3</t>
        </is>
      </c>
      <c r="B20" s="107" t="inlineStr">
        <is>
          <t>Implantação gradual nas demais telas (lotes)</t>
        </is>
      </c>
      <c r="C20" s="107" t="inlineStr">
        <is>
          <t>TI / Infraestrutura</t>
        </is>
      </c>
      <c r="D20" s="108" t="n">
        <v>46245</v>
      </c>
      <c r="E20" s="108" t="n">
        <v>46254</v>
      </c>
      <c r="F20" s="109">
        <f>E20-D20</f>
        <v/>
      </c>
      <c r="G20" s="95" t="inlineStr">
        <is>
          <t>Em andamento</t>
        </is>
      </c>
      <c r="H20" s="110" t="n">
        <v>0.3</v>
      </c>
      <c r="I20" s="107" t="inlineStr">
        <is>
          <t>Instalar em grupos de 5 telas por vez</t>
        </is>
      </c>
    </row>
    <row r="21" ht="21.75" customHeight="1" s="58">
      <c r="A21" s="111" t="inlineStr">
        <is>
          <t>3.4</t>
        </is>
      </c>
      <c r="B21" s="112" t="inlineStr">
        <is>
          <t>Teste de carga e estabilidade (todas as telas ativas)</t>
        </is>
      </c>
      <c r="C21" s="112" t="inlineStr">
        <is>
          <t>TI</t>
        </is>
      </c>
      <c r="D21" s="113" t="n">
        <v>46253</v>
      </c>
      <c r="E21" s="113" t="n">
        <v>46257</v>
      </c>
      <c r="F21" s="114">
        <f>E21-D21</f>
        <v/>
      </c>
      <c r="G21" s="95" t="inlineStr">
        <is>
          <t>Em andamento</t>
        </is>
      </c>
      <c r="H21" s="115" t="n">
        <v>0.3</v>
      </c>
      <c r="I21" s="112" t="inlineStr">
        <is>
          <t>Verificar performance com todas as telas simultâneas</t>
        </is>
      </c>
    </row>
    <row r="22" ht="21.75" customHeight="1" s="58">
      <c r="A22" s="106" t="inlineStr">
        <is>
          <t>3.5</t>
        </is>
      </c>
      <c r="B22" s="107" t="inlineStr">
        <is>
          <t>Treinamento dos usuários responsáveis pelo conteúdo</t>
        </is>
      </c>
      <c r="C22" s="107" t="inlineStr">
        <is>
          <t>TI / Gestão</t>
        </is>
      </c>
      <c r="D22" s="108" t="n">
        <v>46256</v>
      </c>
      <c r="E22" s="108" t="n">
        <v>46259</v>
      </c>
      <c r="F22" s="109">
        <f>E22-D22</f>
        <v/>
      </c>
      <c r="G22" s="88" t="inlineStr">
        <is>
          <t>Concluído</t>
        </is>
      </c>
      <c r="H22" s="110" t="n">
        <v>1</v>
      </c>
      <c r="I22" s="107" t="inlineStr">
        <is>
          <t>Capacitar equipe para gerenciar o CMS</t>
        </is>
      </c>
    </row>
    <row r="23" ht="21.75" customHeight="1" s="58">
      <c r="A23" s="111" t="inlineStr">
        <is>
          <t>3.6</t>
        </is>
      </c>
      <c r="B23" s="112" t="inlineStr">
        <is>
          <t>Aprovação final e entrega em produção</t>
        </is>
      </c>
      <c r="C23" s="112" t="inlineStr">
        <is>
          <t>Gestão / TI</t>
        </is>
      </c>
      <c r="D23" s="113" t="n">
        <v>46259</v>
      </c>
      <c r="E23" s="113" t="n">
        <v>46261</v>
      </c>
      <c r="F23" s="114">
        <f>E23-D23</f>
        <v/>
      </c>
      <c r="G23" s="95" t="inlineStr">
        <is>
          <t>Em andamento</t>
        </is>
      </c>
      <c r="H23" s="115" t="n">
        <v>0.2</v>
      </c>
      <c r="I23" s="112" t="inlineStr">
        <is>
          <t>Validação final com responsáveis e go-live oficial</t>
        </is>
      </c>
    </row>
    <row r="24" ht="25.5" customHeight="1" s="58">
      <c r="A24" s="116" t="inlineStr">
        <is>
          <t>PROGRESSO GERAL DO PROJETO</t>
        </is>
      </c>
      <c r="B24" s="83" t="n"/>
      <c r="C24" s="117" t="n"/>
      <c r="D24" s="117" t="n"/>
      <c r="E24" s="117" t="n"/>
      <c r="F24" s="117" t="n"/>
      <c r="G24" s="117" t="n"/>
      <c r="H24" s="118">
        <f>AVERAGE(H5:H23)</f>
        <v/>
      </c>
      <c r="I24" s="117" t="n"/>
    </row>
    <row r="26" ht="90.75" customHeight="1" s="58">
      <c r="A26" s="119" t="inlineStr">
        <is>
          <t>LEGENDA DE STATUS:</t>
        </is>
      </c>
      <c r="B26" s="88" t="inlineStr">
        <is>
          <t>Concluído</t>
        </is>
      </c>
      <c r="C26" s="95" t="inlineStr">
        <is>
          <t>Em andamento</t>
        </is>
      </c>
      <c r="D26" s="120" t="inlineStr">
        <is>
          <t>Não iniciado</t>
        </is>
      </c>
      <c r="E26" s="121" t="inlineStr">
        <is>
          <t>Atrasado</t>
        </is>
      </c>
    </row>
  </sheetData>
  <mergeCells count="6">
    <mergeCell ref="A24:B24"/>
    <mergeCell ref="A2:I2"/>
    <mergeCell ref="A10:I10"/>
    <mergeCell ref="A1:I1"/>
    <mergeCell ref="A17:I17"/>
    <mergeCell ref="A4:I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2026-06-19T13:12:19Z</dcterms:created>
  <dcterms:modified xmlns:dcterms="http://purl.org/dc/terms/" xmlns:xsi="http://www.w3.org/2001/XMLSchema-instance" xsi:type="dcterms:W3CDTF">2026-06-24T14:14:54Z</dcterms:modified>
  <cp:revision>0</cp:revision>
</cp:coreProperties>
</file>