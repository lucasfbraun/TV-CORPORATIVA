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<sst xmlns="http://schemas.openxmlformats.org/spreadsheetml/2006/main" count="105" uniqueCount="78">
  <si>
    <t xml:space="preserve">CRONOGRAMA DE PROJETO – TV CORPORATIVA</t>
  </si>
  <si>
    <t xml:space="preserve">Gerado em: 19/06/2026   |   Escala: 6 a 20 telas   |   Versão: 1.0</t>
  </si>
  <si>
    <t xml:space="preserve">Nº</t>
  </si>
  <si>
    <t xml:space="preserve">Tarefa / Entregável</t>
  </si>
  <si>
    <t xml:space="preserve">Responsável</t>
  </si>
  <si>
    <t xml:space="preserve">Início</t>
  </si>
  <si>
    <t xml:space="preserve">Fim</t>
  </si>
  <si>
    <t xml:space="preserve">Dias</t>
  </si>
  <si>
    <t xml:space="preserve">Status</t>
  </si>
  <si>
    <t xml:space="preserve">Progresso</t>
  </si>
  <si>
    <t xml:space="preserve">Observações</t>
  </si>
  <si>
    <t xml:space="preserve">  FASE 1 – PLANEJAMENTO</t>
  </si>
  <si>
    <t xml:space="preserve">1.1</t>
  </si>
  <si>
    <t xml:space="preserve">Levantamento de requisitos e objetivos do projeto</t>
  </si>
  <si>
    <t xml:space="preserve">Gestão / TI</t>
  </si>
  <si>
    <t xml:space="preserve">Concluído</t>
  </si>
  <si>
    <t xml:space="preserve">Definir quais informações serão exibidas em cada tela</t>
  </si>
  <si>
    <t xml:space="preserve">1.2</t>
  </si>
  <si>
    <t xml:space="preserve">Mapeamento dos pontos de instalação (localização das telas)</t>
  </si>
  <si>
    <t xml:space="preserve">TI / Infraestrutura</t>
  </si>
  <si>
    <t xml:space="preserve">Planta baixa com posição de cada TV</t>
  </si>
  <si>
    <t xml:space="preserve">1.3</t>
  </si>
  <si>
    <t xml:space="preserve">Definição do layout e identidade visual dos conteúdos</t>
  </si>
  <si>
    <t xml:space="preserve">Marketing / TI</t>
  </si>
  <si>
    <t xml:space="preserve">Cores, fontes e templates das telas</t>
  </si>
  <si>
    <t xml:space="preserve">1.4</t>
  </si>
  <si>
    <t xml:space="preserve">Escolha da plataforma/software de gerenciamento de conteúdo</t>
  </si>
  <si>
    <t xml:space="preserve">TI</t>
  </si>
  <si>
    <t xml:space="preserve">Avaliar opções: Xibo, ScreenCloud, solução própria</t>
  </si>
  <si>
    <t xml:space="preserve">1.5</t>
  </si>
  <si>
    <t xml:space="preserve">Aprovação do plano de projeto pela diretoria</t>
  </si>
  <si>
    <t xml:space="preserve">Gestão</t>
  </si>
  <si>
    <t xml:space="preserve">Não iniciado</t>
  </si>
  <si>
    <t xml:space="preserve">Apresentar cronograma e orçamento para aprovação</t>
  </si>
  <si>
    <t xml:space="preserve">  FASE 2 – DESENVOLVIMENTO</t>
  </si>
  <si>
    <t xml:space="preserve">2.1</t>
  </si>
  <si>
    <t xml:space="preserve">Configuração do servidor / ambiente de hospedagem</t>
  </si>
  <si>
    <t xml:space="preserve">Servidor local ou nuvem para o CMS</t>
  </si>
  <si>
    <t xml:space="preserve">2.2</t>
  </si>
  <si>
    <t xml:space="preserve">Instalação e configuração do software de gerenciamento (CMS)</t>
  </si>
  <si>
    <t xml:space="preserve">Instalar, licenciar e configurar o CMS escolhido</t>
  </si>
  <si>
    <t xml:space="preserve">2.3</t>
  </si>
  <si>
    <t xml:space="preserve">Criação dos templates e playlists de conteúdo</t>
  </si>
  <si>
    <t xml:space="preserve">TI / Marketing</t>
  </si>
  <si>
    <t xml:space="preserve">Slides, vídeos institucionais, indicadores e avisos</t>
  </si>
  <si>
    <t xml:space="preserve">2.4</t>
  </si>
  <si>
    <t xml:space="preserve">Desenvolvimento de integração com sistemas internos (ERP/BI)</t>
  </si>
  <si>
    <t xml:space="preserve">Em andamento</t>
  </si>
  <si>
    <t xml:space="preserve">Ex: exibir dados de produção, metas ou indicadores em tempo real</t>
  </si>
  <si>
    <t xml:space="preserve">2.5</t>
  </si>
  <si>
    <t xml:space="preserve">Configuração dos players de mídia (dispositivos nas TVs)</t>
  </si>
  <si>
    <t xml:space="preserve">Raspberry Pi, Android box, ou player dedicado</t>
  </si>
  <si>
    <t xml:space="preserve">2.6</t>
  </si>
  <si>
    <t xml:space="preserve">Criação do painel de administração / agendamento de conteúdo</t>
  </si>
  <si>
    <t xml:space="preserve">Interface para equipe gerenciar o que é exibido</t>
  </si>
  <si>
    <t xml:space="preserve">  FASE 3 – TESTES E VALIDAÇÃO</t>
  </si>
  <si>
    <t xml:space="preserve">3.1</t>
  </si>
  <si>
    <t xml:space="preserve">Teste em ambiente controlado (1 tela piloto)</t>
  </si>
  <si>
    <t xml:space="preserve">Validar funcionamento completo antes de expandir</t>
  </si>
  <si>
    <t xml:space="preserve">3.2</t>
  </si>
  <si>
    <t xml:space="preserve">Ajustes e correções identificados no piloto</t>
  </si>
  <si>
    <t xml:space="preserve">Corrigir bugs, layout e fluxo de conteúdo</t>
  </si>
  <si>
    <t xml:space="preserve">3.3</t>
  </si>
  <si>
    <t xml:space="preserve">Implantação gradual nas demais telas (lotes)</t>
  </si>
  <si>
    <t xml:space="preserve">Instalar em grupos de 5 telas por vez</t>
  </si>
  <si>
    <t xml:space="preserve">3.4</t>
  </si>
  <si>
    <t xml:space="preserve">Teste de carga e estabilidade (todas as telas ativas)</t>
  </si>
  <si>
    <t xml:space="preserve">Verificar performance com todas as telas simultâneas</t>
  </si>
  <si>
    <t xml:space="preserve">3.5</t>
  </si>
  <si>
    <t xml:space="preserve">Treinamento dos usuários responsáveis pelo conteúdo</t>
  </si>
  <si>
    <t xml:space="preserve">TI / Gestão</t>
  </si>
  <si>
    <t xml:space="preserve">Capacitar equipe para gerenciar o CMS</t>
  </si>
  <si>
    <t xml:space="preserve">3.6</t>
  </si>
  <si>
    <t xml:space="preserve">Aprovação final e entrega em produção</t>
  </si>
  <si>
    <t xml:space="preserve">Validação final com responsáveis e go-live oficial</t>
  </si>
  <si>
    <t xml:space="preserve">PROGRESSO GERAL DO PROJETO</t>
  </si>
  <si>
    <t xml:space="preserve">LEGENDA DE STATUS:</t>
  </si>
  <si>
    <t xml:space="preserve">Atrasado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</si>
</sst>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EAF3FB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EAD3"/>
      </patternFill>
    </fill>
    <fill>
      <patternFill patternType="solid">
        <fgColor rgb="FF6AAF3D"/>
        <bgColor rgb="FF99CC00"/>
      </patternFill>
    </fill>
    <fill>
      <patternFill patternType="solid">
        <fgColor rgb="FFEAF3FB"/>
        <bgColor rgb="FFEEF2F7"/>
      </patternFill>
    </fill>
    <fill>
      <patternFill patternType="solid">
        <fgColor rgb="FFC0C0C0"/>
        <bgColor rgb="FFB0B0B0"/>
      </patternFill>
    </fill>
    <fill>
      <patternFill patternType="solid">
        <fgColor rgb="FFD9EAD3"/>
        <bgColor rgb="FFD6E4F0"/>
      </patternFill>
    </fill>
    <fill>
      <patternFill patternType="solid">
        <fgColor rgb="FFEAF5E5"/>
        <bgColor rgb="FFEEF2F7"/>
      </patternFill>
    </fill>
    <fill>
      <patternFill patternType="solid">
        <fgColor rgb="FFF4B942"/>
        <bgColor rgb="FFFF9900"/>
      </patternFill>
    </fill>
    <fill>
      <patternFill patternType="solid">
        <fgColor rgb="FFFFF2CC"/>
        <bgColor rgb="FFFFFAE5"/>
      </patternFill>
    </fill>
    <fill>
      <patternFill patternType="solid">
        <fgColor rgb="FFFFFAE5"/>
        <bgColor rgb="FFFFFFFF"/>
      </patternFill>
    </fill>
    <fill>
      <patternFill patternType="solid">
        <fgColor rgb="FFE06C75"/>
        <bgColor rgb="FFFF66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E5"/>
      <rgbColor rgb="FFEAF3FB"/>
      <rgbColor rgb="FF660066"/>
      <rgbColor rgb="FFE06C75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5"/>
      <rgbColor rgb="FFD9EAD3"/>
      <rgbColor rgb="FFFFF2CC"/>
      <rgbColor rgb="FF99CCFF"/>
      <rgbColor rgb="FFFF99CC"/>
      <rgbColor rgb="FFCC99FF"/>
      <rgbColor rgb="FFEEF2F7"/>
      <rgbColor rgb="FF2E75B6"/>
      <rgbColor rgb="FF33CCCC"/>
      <rgbColor rgb="FF99CC00"/>
      <rgbColor rgb="FFF4B942"/>
      <rgbColor rgb="FFFF9900"/>
      <rgbColor rgb="FFFF6600"/>
      <rgbColor rgb="FF555555"/>
      <rgbColor rgb="FFB0B0B0"/>
      <rgbColor rgb="FF1F3864"/>
      <rgbColor rgb="FF6AAF3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3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24" hidden="false" customHeight="true" outlineLevel="0" collapsed="false">
      <c r="A4" s="5" t="s">
        <v>11</v>
      </c>
      <c r="B4" s="5"/>
      <c r="C4" s="5"/>
      <c r="D4" s="5"/>
      <c r="E4" s="5"/>
      <c r="F4" s="5"/>
      <c r="G4" s="5"/>
      <c r="H4" s="5"/>
      <c r="I4" s="5"/>
    </row>
    <row r="5" customFormat="false" ht="21.75" hidden="false" customHeight="true" outlineLevel="0" collapsed="false">
      <c r="A5" s="6" t="s">
        <v>12</v>
      </c>
      <c r="B5" s="7" t="s">
        <v>13</v>
      </c>
      <c r="C5" s="7" t="s">
        <v>14</v>
      </c>
      <c r="D5" s="8" t="n">
        <v>46196</v>
      </c>
      <c r="E5" s="8" t="n">
        <v>46200</v>
      </c>
      <c r="F5" s="9" t="n">
        <f aca="false">E5-D5</f>
        <v>4</v>
      </c>
      <c r="G5" s="10" t="s">
        <v>15</v>
      </c>
      <c r="H5" s="11" t="n">
        <v>1</v>
      </c>
      <c r="I5" s="7" t="s">
        <v>16</v>
      </c>
    </row>
    <row r="6" customFormat="false" ht="21.75" hidden="false" customHeight="true" outlineLevel="0" collapsed="false">
      <c r="A6" s="12" t="s">
        <v>17</v>
      </c>
      <c r="B6" s="13" t="s">
        <v>18</v>
      </c>
      <c r="C6" s="13" t="s">
        <v>19</v>
      </c>
      <c r="D6" s="14" t="n">
        <v>46197</v>
      </c>
      <c r="E6" s="14" t="n">
        <v>46201</v>
      </c>
      <c r="F6" s="15" t="n">
        <f aca="false">E6-D6</f>
        <v>4</v>
      </c>
      <c r="G6" s="10" t="s">
        <v>15</v>
      </c>
      <c r="H6" s="16" t="n">
        <v>1</v>
      </c>
      <c r="I6" s="13" t="s">
        <v>20</v>
      </c>
    </row>
    <row r="7" customFormat="false" ht="21.75" hidden="false" customHeight="true" outlineLevel="0" collapsed="false">
      <c r="A7" s="6" t="s">
        <v>21</v>
      </c>
      <c r="B7" s="7" t="s">
        <v>22</v>
      </c>
      <c r="C7" s="7" t="s">
        <v>23</v>
      </c>
      <c r="D7" s="8" t="n">
        <v>46199</v>
      </c>
      <c r="E7" s="8" t="n">
        <v>46205</v>
      </c>
      <c r="F7" s="9" t="n">
        <f aca="false">E7-D7</f>
        <v>6</v>
      </c>
      <c r="G7" s="10" t="s">
        <v>15</v>
      </c>
      <c r="H7" s="11" t="n">
        <v>1</v>
      </c>
      <c r="I7" s="7" t="s">
        <v>24</v>
      </c>
    </row>
    <row r="8" customFormat="false" ht="21.75" hidden="false" customHeight="true" outlineLevel="0" collapsed="false">
      <c r="A8" s="12" t="s">
        <v>25</v>
      </c>
      <c r="B8" s="13" t="s">
        <v>26</v>
      </c>
      <c r="C8" s="13" t="s">
        <v>27</v>
      </c>
      <c r="D8" s="14" t="n">
        <v>46201</v>
      </c>
      <c r="E8" s="14" t="n">
        <v>46206</v>
      </c>
      <c r="F8" s="15" t="n">
        <f aca="false">E8-D8</f>
        <v>5</v>
      </c>
      <c r="G8" s="10" t="s">
        <v>15</v>
      </c>
      <c r="H8" s="16" t="n">
        <v>1</v>
      </c>
      <c r="I8" s="13" t="s">
        <v>28</v>
      </c>
    </row>
    <row r="9" customFormat="false" ht="21.75" hidden="false" customHeight="true" outlineLevel="0" collapsed="false">
      <c r="A9" s="6" t="s">
        <v>29</v>
      </c>
      <c r="B9" s="7" t="s">
        <v>30</v>
      </c>
      <c r="C9" s="7" t="s">
        <v>31</v>
      </c>
      <c r="D9" s="8" t="n">
        <v>46206</v>
      </c>
      <c r="E9" s="8" t="n">
        <v>46208</v>
      </c>
      <c r="F9" s="9" t="n">
        <f aca="false">E9-D9</f>
        <v>2</v>
      </c>
      <c r="G9" s="17" t="s">
        <v>32</v>
      </c>
      <c r="H9" s="11" t="n">
        <v>0</v>
      </c>
      <c r="I9" s="7" t="s">
        <v>33</v>
      </c>
    </row>
    <row r="10" customFormat="false" ht="24" hidden="false" customHeight="true" outlineLevel="0" collapsed="false">
      <c r="A10" s="5" t="s">
        <v>34</v>
      </c>
      <c r="B10" s="5"/>
      <c r="C10" s="5"/>
      <c r="D10" s="5"/>
      <c r="E10" s="5"/>
      <c r="F10" s="5"/>
      <c r="G10" s="5"/>
      <c r="H10" s="5"/>
      <c r="I10" s="5"/>
    </row>
    <row r="11" customFormat="false" ht="21.75" hidden="false" customHeight="true" outlineLevel="0" collapsed="false">
      <c r="A11" s="18" t="s">
        <v>35</v>
      </c>
      <c r="B11" s="19" t="s">
        <v>36</v>
      </c>
      <c r="C11" s="19" t="s">
        <v>27</v>
      </c>
      <c r="D11" s="20" t="n">
        <v>46209</v>
      </c>
      <c r="E11" s="20" t="n">
        <v>46213</v>
      </c>
      <c r="F11" s="21" t="n">
        <f aca="false">E11-D11</f>
        <v>4</v>
      </c>
      <c r="G11" s="10" t="s">
        <v>15</v>
      </c>
      <c r="H11" s="22" t="n">
        <v>1</v>
      </c>
      <c r="I11" s="19" t="s">
        <v>37</v>
      </c>
    </row>
    <row r="12" customFormat="false" ht="21.75" hidden="false" customHeight="true" outlineLevel="0" collapsed="false">
      <c r="A12" s="23" t="s">
        <v>38</v>
      </c>
      <c r="B12" s="24" t="s">
        <v>39</v>
      </c>
      <c r="C12" s="24" t="s">
        <v>27</v>
      </c>
      <c r="D12" s="25" t="n">
        <v>46212</v>
      </c>
      <c r="E12" s="25" t="n">
        <v>46218</v>
      </c>
      <c r="F12" s="26" t="n">
        <f aca="false">E12-D12</f>
        <v>6</v>
      </c>
      <c r="G12" s="10" t="s">
        <v>15</v>
      </c>
      <c r="H12" s="27" t="n">
        <v>1</v>
      </c>
      <c r="I12" s="24" t="s">
        <v>40</v>
      </c>
    </row>
    <row r="13" customFormat="false" ht="21.75" hidden="false" customHeight="true" outlineLevel="0" collapsed="false">
      <c r="A13" s="18" t="s">
        <v>41</v>
      </c>
      <c r="B13" s="19" t="s">
        <v>42</v>
      </c>
      <c r="C13" s="19" t="s">
        <v>43</v>
      </c>
      <c r="D13" s="20" t="n">
        <v>46216</v>
      </c>
      <c r="E13" s="20" t="n">
        <v>46226</v>
      </c>
      <c r="F13" s="21" t="n">
        <f aca="false">E13-D13</f>
        <v>10</v>
      </c>
      <c r="G13" s="10" t="s">
        <v>15</v>
      </c>
      <c r="H13" s="22" t="n">
        <v>1</v>
      </c>
      <c r="I13" s="19" t="s">
        <v>44</v>
      </c>
    </row>
    <row r="14" customFormat="false" ht="21.75" hidden="false" customHeight="true" outlineLevel="0" collapsed="false">
      <c r="A14" s="23" t="s">
        <v>45</v>
      </c>
      <c r="B14" s="24" t="s">
        <v>46</v>
      </c>
      <c r="C14" s="24" t="s">
        <v>27</v>
      </c>
      <c r="D14" s="25" t="n">
        <v>46218</v>
      </c>
      <c r="E14" s="25" t="n">
        <v>46231</v>
      </c>
      <c r="F14" s="26" t="n">
        <f aca="false">E14-D14</f>
        <v>13</v>
      </c>
      <c r="G14" s="28" t="s">
        <v>47</v>
      </c>
      <c r="H14" s="27" t="n">
        <v>0.5</v>
      </c>
      <c r="I14" s="24" t="s">
        <v>48</v>
      </c>
    </row>
    <row r="15" customFormat="false" ht="21.75" hidden="false" customHeight="true" outlineLevel="0" collapsed="false">
      <c r="A15" s="18" t="s">
        <v>49</v>
      </c>
      <c r="B15" s="19" t="s">
        <v>50</v>
      </c>
      <c r="C15" s="19" t="s">
        <v>27</v>
      </c>
      <c r="D15" s="20" t="n">
        <v>46224</v>
      </c>
      <c r="E15" s="20" t="n">
        <v>46230</v>
      </c>
      <c r="F15" s="21" t="n">
        <f aca="false">E15-D15</f>
        <v>6</v>
      </c>
      <c r="G15" s="28" t="s">
        <v>47</v>
      </c>
      <c r="H15" s="22" t="n">
        <v>0.5</v>
      </c>
      <c r="I15" s="19" t="s">
        <v>51</v>
      </c>
    </row>
    <row r="16" customFormat="false" ht="21.75" hidden="false" customHeight="true" outlineLevel="0" collapsed="false">
      <c r="A16" s="23" t="s">
        <v>52</v>
      </c>
      <c r="B16" s="24" t="s">
        <v>53</v>
      </c>
      <c r="C16" s="24" t="s">
        <v>27</v>
      </c>
      <c r="D16" s="25" t="n">
        <v>46226</v>
      </c>
      <c r="E16" s="25" t="n">
        <v>46236</v>
      </c>
      <c r="F16" s="26" t="n">
        <f aca="false">E16-D16</f>
        <v>10</v>
      </c>
      <c r="G16" s="10" t="s">
        <v>15</v>
      </c>
      <c r="H16" s="27" t="n">
        <v>1</v>
      </c>
      <c r="I16" s="24" t="s">
        <v>54</v>
      </c>
    </row>
    <row r="17" customFormat="false" ht="24" hidden="false" customHeight="true" outlineLevel="0" collapsed="false">
      <c r="A17" s="5" t="s">
        <v>55</v>
      </c>
      <c r="B17" s="5"/>
      <c r="C17" s="5"/>
      <c r="D17" s="5"/>
      <c r="E17" s="5"/>
      <c r="F17" s="5"/>
      <c r="G17" s="5"/>
      <c r="H17" s="5"/>
      <c r="I17" s="5"/>
    </row>
    <row r="18" customFormat="false" ht="21.75" hidden="false" customHeight="true" outlineLevel="0" collapsed="false">
      <c r="A18" s="29" t="s">
        <v>56</v>
      </c>
      <c r="B18" s="30" t="s">
        <v>57</v>
      </c>
      <c r="C18" s="30" t="s">
        <v>27</v>
      </c>
      <c r="D18" s="31" t="n">
        <v>46237</v>
      </c>
      <c r="E18" s="31" t="n">
        <v>46241</v>
      </c>
      <c r="F18" s="32" t="n">
        <f aca="false">E18-D18</f>
        <v>4</v>
      </c>
      <c r="G18" s="17" t="s">
        <v>32</v>
      </c>
      <c r="H18" s="33" t="n">
        <v>0</v>
      </c>
      <c r="I18" s="30" t="s">
        <v>58</v>
      </c>
    </row>
    <row r="19" customFormat="false" ht="21.75" hidden="false" customHeight="true" outlineLevel="0" collapsed="false">
      <c r="A19" s="34" t="s">
        <v>59</v>
      </c>
      <c r="B19" s="35" t="s">
        <v>60</v>
      </c>
      <c r="C19" s="35" t="s">
        <v>43</v>
      </c>
      <c r="D19" s="36" t="n">
        <v>46241</v>
      </c>
      <c r="E19" s="36" t="n">
        <v>46245</v>
      </c>
      <c r="F19" s="37" t="n">
        <f aca="false">E19-D19</f>
        <v>4</v>
      </c>
      <c r="G19" s="17" t="s">
        <v>32</v>
      </c>
      <c r="H19" s="38" t="n">
        <v>0</v>
      </c>
      <c r="I19" s="35" t="s">
        <v>61</v>
      </c>
    </row>
    <row r="20" customFormat="false" ht="21.75" hidden="false" customHeight="true" outlineLevel="0" collapsed="false">
      <c r="A20" s="29" t="s">
        <v>62</v>
      </c>
      <c r="B20" s="30" t="s">
        <v>63</v>
      </c>
      <c r="C20" s="30" t="s">
        <v>19</v>
      </c>
      <c r="D20" s="31" t="n">
        <v>46245</v>
      </c>
      <c r="E20" s="31" t="n">
        <v>46254</v>
      </c>
      <c r="F20" s="32" t="n">
        <f aca="false">E20-D20</f>
        <v>9</v>
      </c>
      <c r="G20" s="17" t="s">
        <v>32</v>
      </c>
      <c r="H20" s="33" t="n">
        <v>0</v>
      </c>
      <c r="I20" s="30" t="s">
        <v>64</v>
      </c>
    </row>
    <row r="21" customFormat="false" ht="21.75" hidden="false" customHeight="true" outlineLevel="0" collapsed="false">
      <c r="A21" s="34" t="s">
        <v>65</v>
      </c>
      <c r="B21" s="35" t="s">
        <v>66</v>
      </c>
      <c r="C21" s="35" t="s">
        <v>27</v>
      </c>
      <c r="D21" s="36" t="n">
        <v>46253</v>
      </c>
      <c r="E21" s="36" t="n">
        <v>46257</v>
      </c>
      <c r="F21" s="37" t="n">
        <f aca="false">E21-D21</f>
        <v>4</v>
      </c>
      <c r="G21" s="17" t="s">
        <v>32</v>
      </c>
      <c r="H21" s="38" t="n">
        <v>0</v>
      </c>
      <c r="I21" s="35" t="s">
        <v>67</v>
      </c>
    </row>
    <row r="22" customFormat="false" ht="21.75" hidden="false" customHeight="true" outlineLevel="0" collapsed="false">
      <c r="A22" s="29" t="s">
        <v>68</v>
      </c>
      <c r="B22" s="30" t="s">
        <v>69</v>
      </c>
      <c r="C22" s="30" t="s">
        <v>70</v>
      </c>
      <c r="D22" s="31" t="n">
        <v>46256</v>
      </c>
      <c r="E22" s="31" t="n">
        <v>46259</v>
      </c>
      <c r="F22" s="32" t="n">
        <f aca="false">E22-D22</f>
        <v>3</v>
      </c>
      <c r="G22" s="17" t="s">
        <v>32</v>
      </c>
      <c r="H22" s="33" t="n">
        <v>0</v>
      </c>
      <c r="I22" s="30" t="s">
        <v>71</v>
      </c>
    </row>
    <row r="23" customFormat="false" ht="21.75" hidden="false" customHeight="true" outlineLevel="0" collapsed="false">
      <c r="A23" s="34" t="s">
        <v>72</v>
      </c>
      <c r="B23" s="35" t="s">
        <v>73</v>
      </c>
      <c r="C23" s="35" t="s">
        <v>14</v>
      </c>
      <c r="D23" s="36" t="n">
        <v>46259</v>
      </c>
      <c r="E23" s="36" t="n">
        <v>46261</v>
      </c>
      <c r="F23" s="37" t="n">
        <f aca="false">E23-D23</f>
        <v>2</v>
      </c>
      <c r="G23" s="17" t="s">
        <v>32</v>
      </c>
      <c r="H23" s="38" t="n">
        <v>0</v>
      </c>
      <c r="I23" s="35" t="s">
        <v>74</v>
      </c>
    </row>
    <row r="24" customFormat="false" ht="25.5" hidden="false" customHeight="true" outlineLevel="0" collapsed="false">
      <c r="A24" s="39" t="s">
        <v>75</v>
      </c>
      <c r="B24" s="39"/>
      <c r="C24" s="40"/>
      <c r="D24" s="40"/>
      <c r="E24" s="40"/>
      <c r="F24" s="40"/>
      <c r="G24" s="40"/>
      <c r="H24" s="41" t="n">
        <f aca="false">AVERAGE(H5:H23)</f>
        <v>0.529411764705882</v>
      </c>
      <c r="I24" s="40"/>
    </row>
    <row r="26" customFormat="false" ht="90.75" hidden="false" customHeight="true" outlineLevel="0" collapsed="false">
      <c r="A26" s="42" t="s">
        <v>76</v>
      </c>
      <c r="B26" s="10" t="s">
        <v>15</v>
      </c>
      <c r="C26" s="28" t="s">
        <v>47</v>
      </c>
      <c r="D26" s="17" t="s">
        <v>32</v>
      </c>
      <c r="E26" s="43" t="s">
        <v>77</v>
      </c>
    </row>
  </sheetData>
  <mergeCells count="6">
    <mergeCell ref="A1:I1"/>
    <mergeCell ref="A2:I2"/>
    <mergeCell ref="A4:I4"/>
    <mergeCell ref="A10:I10"/>
    <mergeCell ref="A17:I17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2026-06-19T13:12:19Z</dcterms:created>
  <dc:creator>openpyxl</dc:creator>
  <dc:description/>
  <dc:language>en-US</dc:language>
  <cp:lastModifiedBy/>
  <dcterms:modified xsi:type="dcterms:W3CDTF">2026-06-19T13:22:21Z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